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728628BE-EBCF-EE45-8CA4-DC9156689442}" xr6:coauthVersionLast="47" xr6:coauthVersionMax="47" xr10:uidLastSave="{00000000-0000-0000-0000-000000000000}"/>
  <bookViews>
    <workbookView xWindow="0" yWindow="800" windowWidth="29040" windowHeight="15720" firstSheet="19" activeTab="22" xr2:uid="{00000000-000D-0000-FFFF-FFFF00000000}"/>
  </bookViews>
  <sheets>
    <sheet name="November 2024" sheetId="4" r:id="rId1"/>
    <sheet name="December 2024 " sheetId="5" r:id="rId2"/>
    <sheet name="January 2025" sheetId="6" r:id="rId3"/>
    <sheet name="February 2025" sheetId="1" r:id="rId4"/>
    <sheet name="March 2025" sheetId="7" r:id="rId5"/>
    <sheet name="April 2025" sheetId="8" r:id="rId6"/>
    <sheet name="May 2025" sheetId="9" r:id="rId7"/>
    <sheet name="June 2025" sheetId="10" r:id="rId8"/>
    <sheet name="July 2025" sheetId="11" r:id="rId9"/>
    <sheet name="August 2025" sheetId="12" r:id="rId10"/>
    <sheet name="September 2025" sheetId="13" r:id="rId11"/>
    <sheet name="October 2025" sheetId="14" r:id="rId12"/>
    <sheet name="November 2025" sheetId="15" r:id="rId13"/>
    <sheet name="December 2025" sheetId="16" r:id="rId14"/>
    <sheet name="January 2026" sheetId="17" r:id="rId15"/>
    <sheet name="February 2026" sheetId="18" r:id="rId16"/>
    <sheet name="March 2026" sheetId="19" r:id="rId17"/>
    <sheet name="April 2026" sheetId="20" r:id="rId18"/>
    <sheet name="May 2026" sheetId="21" r:id="rId19"/>
    <sheet name="June 2026" sheetId="22" r:id="rId20"/>
    <sheet name="July 2026" sheetId="23" r:id="rId21"/>
    <sheet name="August 2026" sheetId="24" r:id="rId22"/>
    <sheet name="September 2026" sheetId="25" r:id="rId23"/>
    <sheet name="October 2026" sheetId="26" r:id="rId24"/>
    <sheet name="November 2026" sheetId="27" r:id="rId25"/>
    <sheet name="December 2026" sheetId="31" r:id="rId26"/>
    <sheet name="January 2027" sheetId="28" r:id="rId27"/>
    <sheet name="February 2027" sheetId="32" r:id="rId28"/>
    <sheet name="March 2027" sheetId="33" r:id="rId29"/>
    <sheet name="April 2027" sheetId="35" r:id="rId30"/>
    <sheet name="May 2027" sheetId="36" r:id="rId31"/>
    <sheet name="June 2027" sheetId="37" r:id="rId32"/>
    <sheet name="July 2027" sheetId="38" r:id="rId33"/>
    <sheet name="August 2027" sheetId="39" r:id="rId34"/>
    <sheet name="September 2027" sheetId="40" r:id="rId35"/>
    <sheet name="October 2027" sheetId="41" r:id="rId36"/>
    <sheet name="November 2027" sheetId="42" r:id="rId37"/>
    <sheet name="December 2027" sheetId="43" r:id="rId38"/>
  </sheets>
  <definedNames>
    <definedName name="calendar" localSheetId="5">daygrid+'April 2025'!firstdate-WEEKDAY('April 2025'!firstdate)-'April 2025'!weekday_option</definedName>
    <definedName name="calendar" localSheetId="17">daygrid+'April 2026'!firstdate-WEEKDAY('April 2026'!firstdate)-'April 2026'!weekday_option</definedName>
    <definedName name="calendar" localSheetId="29">daygrid+'April 2027'!firstdate-WEEKDAY('April 2027'!firstdate)-'April 2027'!weekday_option</definedName>
    <definedName name="calendar" localSheetId="9">daygrid+'August 2025'!firstdate-WEEKDAY('August 2025'!firstdate)-'August 2025'!weekday_option</definedName>
    <definedName name="calendar" localSheetId="21">daygrid+'August 2026'!firstdate-WEEKDAY('August 2026'!firstdate)-'August 2026'!weekday_option</definedName>
    <definedName name="calendar" localSheetId="33">daygrid+'August 2027'!firstdate-WEEKDAY('August 2027'!firstdate)-'August 2027'!weekday_option</definedName>
    <definedName name="calendar" localSheetId="1">daygrid+'December 2024 '!firstdate-WEEKDAY('December 2024 '!firstdate)-'December 2024 '!weekday_option</definedName>
    <definedName name="calendar" localSheetId="13">daygrid+'December 2025'!firstdate-WEEKDAY('December 2025'!firstdate)-'December 2025'!weekday_option</definedName>
    <definedName name="calendar" localSheetId="25">daygrid+'December 2026'!firstdate-WEEKDAY('December 2026'!firstdate)-'December 2026'!weekday_option</definedName>
    <definedName name="calendar" localSheetId="37">daygrid+'December 2027'!firstdate-WEEKDAY('December 2027'!firstdate)-'December 2027'!weekday_option</definedName>
    <definedName name="calendar" localSheetId="3">daygrid+'February 2025'!firstdate-WEEKDAY('February 2025'!firstdate)-weekday_option</definedName>
    <definedName name="calendar" localSheetId="15">daygrid+'February 2026'!firstdate-WEEKDAY('February 2026'!firstdate)-'February 2026'!weekday_option</definedName>
    <definedName name="calendar" localSheetId="27">daygrid+'February 2027'!firstdate-WEEKDAY('February 2027'!firstdate)-'February 2027'!weekday_option</definedName>
    <definedName name="calendar" localSheetId="2">daygrid+'January 2025'!firstdate-WEEKDAY('January 2025'!firstdate)-'January 2025'!weekday_option</definedName>
    <definedName name="calendar" localSheetId="14">daygrid+'January 2026'!firstdate-WEEKDAY('January 2026'!firstdate)-'January 2026'!weekday_option</definedName>
    <definedName name="calendar" localSheetId="26">daygrid+'January 2027'!firstdate-WEEKDAY('January 2027'!firstdate)-'January 2027'!weekday_option</definedName>
    <definedName name="calendar" localSheetId="8">daygrid+'July 2025'!firstdate-WEEKDAY('July 2025'!firstdate)-'July 2025'!weekday_option</definedName>
    <definedName name="calendar" localSheetId="20">daygrid+'July 2026'!firstdate-WEEKDAY('July 2026'!firstdate)-'July 2026'!weekday_option</definedName>
    <definedName name="calendar" localSheetId="32">daygrid+'July 2027'!firstdate-WEEKDAY('July 2027'!firstdate)-'July 2027'!weekday_option</definedName>
    <definedName name="calendar" localSheetId="7">daygrid+'June 2025'!firstdate-WEEKDAY('June 2025'!firstdate)-'June 2025'!weekday_option</definedName>
    <definedName name="calendar" localSheetId="19">daygrid+'June 2026'!firstdate-WEEKDAY('June 2026'!firstdate)-'June 2026'!weekday_option</definedName>
    <definedName name="calendar" localSheetId="31">daygrid+'June 2027'!firstdate-WEEKDAY('June 2027'!firstdate)-'June 2027'!weekday_option</definedName>
    <definedName name="calendar" localSheetId="4">daygrid+'March 2025'!firstdate-WEEKDAY('March 2025'!firstdate)-'March 2025'!weekday_option</definedName>
    <definedName name="calendar" localSheetId="16">daygrid+'March 2026'!firstdate-WEEKDAY('March 2026'!firstdate)-'March 2026'!weekday_option</definedName>
    <definedName name="calendar" localSheetId="28">daygrid+'March 2027'!firstdate-WEEKDAY('March 2027'!firstdate)-'March 2027'!weekday_option</definedName>
    <definedName name="calendar" localSheetId="6">daygrid+'May 2025'!firstdate-WEEKDAY('May 2025'!firstdate)-'May 2025'!weekday_option</definedName>
    <definedName name="calendar" localSheetId="18">daygrid+'May 2026'!firstdate-WEEKDAY('May 2026'!firstdate)-'May 2026'!weekday_option</definedName>
    <definedName name="calendar" localSheetId="30">daygrid+'May 2027'!firstdate-WEEKDAY('May 2027'!firstdate)-'May 2027'!weekday_option</definedName>
    <definedName name="calendar" localSheetId="0">daygrid+'November 2024'!firstdate-WEEKDAY('November 2024'!firstdate)-'November 2024'!weekday_option</definedName>
    <definedName name="calendar" localSheetId="12">daygrid+'November 2025'!firstdate-WEEKDAY('November 2025'!firstdate)-'November 2025'!weekday_option</definedName>
    <definedName name="calendar" localSheetId="24">daygrid+'November 2026'!firstdate-WEEKDAY('November 2026'!firstdate)-'November 2026'!weekday_option</definedName>
    <definedName name="calendar" localSheetId="36">daygrid+'November 2027'!firstdate-WEEKDAY('November 2027'!firstdate)-'November 2027'!weekday_option</definedName>
    <definedName name="calendar" localSheetId="11">daygrid+'October 2025'!firstdate-WEEKDAY('October 2025'!firstdate)-'October 2025'!weekday_option</definedName>
    <definedName name="calendar" localSheetId="23">daygrid+'October 2026'!firstdate-WEEKDAY('October 2026'!firstdate)-'October 2026'!weekday_option</definedName>
    <definedName name="calendar" localSheetId="35">daygrid+'October 2027'!firstdate-WEEKDAY('October 2027'!firstdate)-'October 2027'!weekday_option</definedName>
    <definedName name="calendar" localSheetId="10">daygrid+'September 2025'!firstdate-WEEKDAY('September 2025'!firstdate)-'September 2025'!weekday_option</definedName>
    <definedName name="calendar" localSheetId="22">daygrid+'September 2026'!firstdate-WEEKDAY('September 2026'!firstdate)-'September 2026'!weekday_option</definedName>
    <definedName name="calendar" localSheetId="34">daygrid+'September 2027'!firstdate-WEEKDAY('September 2027'!firstdate)-'September 2027'!weekday_option</definedName>
    <definedName name="daygrid">days+weeks*7</definedName>
    <definedName name="daypattern">{1,1,2,2,3,3,4,4,5,5,6,6,7}</definedName>
    <definedName name="days">{0,1,2,3,4,5,6}</definedName>
    <definedName name="DayToStart" localSheetId="5">'April 2025'!$E$1</definedName>
    <definedName name="DayToStart" localSheetId="17">'April 2026'!$E$1</definedName>
    <definedName name="DayToStart" localSheetId="29">'April 2027'!$E$1</definedName>
    <definedName name="DayToStart" localSheetId="9">'August 2025'!$E$1</definedName>
    <definedName name="DayToStart" localSheetId="21">'August 2026'!$E$1</definedName>
    <definedName name="DayToStart" localSheetId="33">'August 2027'!$E$1</definedName>
    <definedName name="DayToStart" localSheetId="1">'December 2024 '!$E$1</definedName>
    <definedName name="DayToStart" localSheetId="13">'December 2025'!$E$1</definedName>
    <definedName name="DayToStart" localSheetId="25">'December 2026'!$E$1</definedName>
    <definedName name="DayToStart" localSheetId="37">'December 2027'!$E$1</definedName>
    <definedName name="DayToStart" localSheetId="15">'February 2026'!$E$1</definedName>
    <definedName name="DayToStart" localSheetId="27">'February 2027'!$E$1</definedName>
    <definedName name="DayToStart" localSheetId="2">'January 2025'!$E$1</definedName>
    <definedName name="DayToStart" localSheetId="14">'January 2026'!$E$1</definedName>
    <definedName name="DayToStart" localSheetId="26">'January 2027'!$E$1</definedName>
    <definedName name="DayToStart" localSheetId="8">'July 2025'!$E$1</definedName>
    <definedName name="DayToStart" localSheetId="20">'July 2026'!$E$1</definedName>
    <definedName name="DayToStart" localSheetId="32">'July 2027'!$E$1</definedName>
    <definedName name="DayToStart" localSheetId="7">'June 2025'!$E$1</definedName>
    <definedName name="DayToStart" localSheetId="19">'June 2026'!$E$1</definedName>
    <definedName name="DayToStart" localSheetId="31">'June 2027'!$E$1</definedName>
    <definedName name="DayToStart" localSheetId="4">'March 2025'!$E$1</definedName>
    <definedName name="DayToStart" localSheetId="16">'March 2026'!$E$1</definedName>
    <definedName name="DayToStart" localSheetId="28">'March 2027'!$E$1</definedName>
    <definedName name="DayToStart" localSheetId="6">'May 2025'!$E$1</definedName>
    <definedName name="DayToStart" localSheetId="18">'May 2026'!$E$1</definedName>
    <definedName name="DayToStart" localSheetId="30">'May 2027'!$E$1</definedName>
    <definedName name="DayToStart" localSheetId="0">'November 2024'!$E$1</definedName>
    <definedName name="DayToStart" localSheetId="12">'November 2025'!$E$1</definedName>
    <definedName name="DayToStart" localSheetId="24">'November 2026'!$E$1</definedName>
    <definedName name="DayToStart" localSheetId="36">'November 2027'!$E$1</definedName>
    <definedName name="DayToStart" localSheetId="11">'October 2025'!$E$1</definedName>
    <definedName name="DayToStart" localSheetId="23">'October 2026'!$E$1</definedName>
    <definedName name="DayToStart" localSheetId="35">'October 2027'!$E$1</definedName>
    <definedName name="DayToStart" localSheetId="10">'September 2025'!$E$1</definedName>
    <definedName name="DayToStart" localSheetId="22">'September 2026'!$E$1</definedName>
    <definedName name="DayToStart" localSheetId="34">'September 2027'!$E$1</definedName>
    <definedName name="DayToStart">'February 2025'!$E$1</definedName>
    <definedName name="firstdate" localSheetId="5">DATE('April 2025'!YearToDisplay,'April 2025'!month,1)</definedName>
    <definedName name="firstdate" localSheetId="17">DATE('April 2026'!YearToDisplay,'April 2026'!month,1)</definedName>
    <definedName name="firstdate" localSheetId="29">DATE('April 2027'!YearToDisplay,'April 2027'!month,1)</definedName>
    <definedName name="firstdate" localSheetId="9">DATE('August 2025'!YearToDisplay,'August 2025'!month,1)</definedName>
    <definedName name="firstdate" localSheetId="21">DATE('August 2026'!YearToDisplay,'August 2026'!month,1)</definedName>
    <definedName name="firstdate" localSheetId="33">DATE('August 2027'!YearToDisplay,'August 2027'!month,1)</definedName>
    <definedName name="firstdate" localSheetId="1">DATE('December 2024 '!YearToDisplay,'December 2024 '!month,1)</definedName>
    <definedName name="firstdate" localSheetId="13">DATE('December 2025'!YearToDisplay,'December 2025'!month,1)</definedName>
    <definedName name="firstdate" localSheetId="25">DATE('December 2026'!YearToDisplay,'December 2026'!month,1)</definedName>
    <definedName name="firstdate" localSheetId="37">DATE('December 2027'!YearToDisplay,'December 2027'!month,1)</definedName>
    <definedName name="firstdate" localSheetId="3">DATE('February 2025'!YearToDisplay,'February 2025'!month,1)</definedName>
    <definedName name="firstdate" localSheetId="15">DATE('February 2026'!YearToDisplay,'February 2026'!month,1)</definedName>
    <definedName name="firstdate" localSheetId="27">DATE('February 2027'!YearToDisplay,'February 2027'!month,1)</definedName>
    <definedName name="firstdate" localSheetId="2">DATE('January 2025'!YearToDisplay,'January 2025'!month,1)</definedName>
    <definedName name="firstdate" localSheetId="14">DATE('January 2026'!YearToDisplay,'January 2026'!month,1)</definedName>
    <definedName name="firstdate" localSheetId="26">DATE('January 2027'!YearToDisplay,'January 2027'!month,1)</definedName>
    <definedName name="firstdate" localSheetId="8">DATE('July 2025'!YearToDisplay,'July 2025'!month,1)</definedName>
    <definedName name="firstdate" localSheetId="20">DATE('July 2026'!YearToDisplay,'July 2026'!month,1)</definedName>
    <definedName name="firstdate" localSheetId="32">DATE('July 2027'!YearToDisplay,'July 2027'!month,1)</definedName>
    <definedName name="firstdate" localSheetId="7">DATE('June 2025'!YearToDisplay,'June 2025'!month,1)</definedName>
    <definedName name="firstdate" localSheetId="19">DATE('June 2026'!YearToDisplay,'June 2026'!month,1)</definedName>
    <definedName name="firstdate" localSheetId="31">DATE('June 2027'!YearToDisplay,'June 2027'!month,1)</definedName>
    <definedName name="firstdate" localSheetId="4">DATE('March 2025'!YearToDisplay,'March 2025'!month,1)</definedName>
    <definedName name="firstdate" localSheetId="16">DATE('March 2026'!YearToDisplay,'March 2026'!month,1)</definedName>
    <definedName name="firstdate" localSheetId="28">DATE('March 2027'!YearToDisplay,'March 2027'!month,1)</definedName>
    <definedName name="firstdate" localSheetId="6">DATE('May 2025'!YearToDisplay,'May 2025'!month,1)</definedName>
    <definedName name="firstdate" localSheetId="18">DATE('May 2026'!YearToDisplay,'May 2026'!month,1)</definedName>
    <definedName name="firstdate" localSheetId="30">DATE('May 2027'!YearToDisplay,'May 2027'!month,1)</definedName>
    <definedName name="firstdate" localSheetId="0">DATE('November 2024'!YearToDisplay,'November 2024'!month,1)</definedName>
    <definedName name="firstdate" localSheetId="12">DATE('November 2025'!YearToDisplay,'November 2025'!month,1)</definedName>
    <definedName name="firstdate" localSheetId="24">DATE('November 2026'!YearToDisplay,'November 2026'!month,1)</definedName>
    <definedName name="firstdate" localSheetId="36">DATE('November 2027'!YearToDisplay,'November 2027'!month,1)</definedName>
    <definedName name="firstdate" localSheetId="11">DATE('October 2025'!YearToDisplay,'October 2025'!month,1)</definedName>
    <definedName name="firstdate" localSheetId="23">DATE('October 2026'!YearToDisplay,'October 2026'!month,1)</definedName>
    <definedName name="firstdate" localSheetId="35">DATE('October 2027'!YearToDisplay,'October 2027'!month,1)</definedName>
    <definedName name="firstdate" localSheetId="10">DATE('September 2025'!YearToDisplay,'September 2025'!month,1)</definedName>
    <definedName name="firstdate" localSheetId="22">DATE('September 2026'!YearToDisplay,'September 2026'!month,1)</definedName>
    <definedName name="firstdate" localSheetId="34">DATE('September 2027'!YearToDisplay,'September 2027'!month,1)</definedName>
    <definedName name="month" localSheetId="5">MATCH('April 2025'!MonthToDisplay,months,0)</definedName>
    <definedName name="month" localSheetId="17">MATCH('April 2026'!MonthToDisplay,months,0)</definedName>
    <definedName name="month" localSheetId="29">MATCH('April 2027'!MonthToDisplay,months,0)</definedName>
    <definedName name="month" localSheetId="9">MATCH('August 2025'!MonthToDisplay,months,0)</definedName>
    <definedName name="month" localSheetId="21">MATCH('August 2026'!MonthToDisplay,months,0)</definedName>
    <definedName name="month" localSheetId="33">MATCH('August 2027'!MonthToDisplay,months,0)</definedName>
    <definedName name="month" localSheetId="1">MATCH('December 2024 '!MonthToDisplay,months,0)</definedName>
    <definedName name="month" localSheetId="13">MATCH('December 2025'!MonthToDisplay,months,0)</definedName>
    <definedName name="month" localSheetId="25">MATCH('December 2026'!MonthToDisplay,months,0)</definedName>
    <definedName name="month" localSheetId="37">MATCH('December 2027'!MonthToDisplay,months,0)</definedName>
    <definedName name="month" localSheetId="3">MATCH('February 2025'!MonthToDisplay,months,0)</definedName>
    <definedName name="month" localSheetId="15">MATCH('February 2026'!MonthToDisplay,months,0)</definedName>
    <definedName name="month" localSheetId="27">MATCH('February 2027'!MonthToDisplay,months,0)</definedName>
    <definedName name="month" localSheetId="2">MATCH('January 2025'!MonthToDisplay,months,0)</definedName>
    <definedName name="month" localSheetId="14">MATCH('January 2026'!MonthToDisplay,months,0)</definedName>
    <definedName name="month" localSheetId="26">MATCH('January 2027'!MonthToDisplay,months,0)</definedName>
    <definedName name="month" localSheetId="8">MATCH('July 2025'!MonthToDisplay,months,0)</definedName>
    <definedName name="month" localSheetId="20">MATCH('July 2026'!MonthToDisplay,months,0)</definedName>
    <definedName name="month" localSheetId="32">MATCH('July 2027'!MonthToDisplay,months,0)</definedName>
    <definedName name="month" localSheetId="7">MATCH('June 2025'!MonthToDisplay,months,0)</definedName>
    <definedName name="month" localSheetId="19">MATCH('June 2026'!MonthToDisplay,months,0)</definedName>
    <definedName name="month" localSheetId="31">MATCH('June 2027'!MonthToDisplay,months,0)</definedName>
    <definedName name="month" localSheetId="4">MATCH('March 2025'!MonthToDisplay,months,0)</definedName>
    <definedName name="month" localSheetId="16">MATCH('March 2026'!MonthToDisplay,months,0)</definedName>
    <definedName name="month" localSheetId="28">MATCH('March 2027'!MonthToDisplay,months,0)</definedName>
    <definedName name="month" localSheetId="6">MATCH('May 2025'!MonthToDisplay,months,0)</definedName>
    <definedName name="month" localSheetId="18">MATCH('May 2026'!MonthToDisplay,months,0)</definedName>
    <definedName name="month" localSheetId="30">MATCH('May 2027'!MonthToDisplay,months,0)</definedName>
    <definedName name="month" localSheetId="0">MATCH('November 2024'!MonthToDisplay,months,0)</definedName>
    <definedName name="month" localSheetId="12">MATCH('November 2025'!MonthToDisplay,months,0)</definedName>
    <definedName name="month" localSheetId="24">MATCH('November 2026'!MonthToDisplay,months,0)</definedName>
    <definedName name="month" localSheetId="36">MATCH('November 2027'!MonthToDisplay,months,0)</definedName>
    <definedName name="month" localSheetId="11">MATCH('October 2025'!MonthToDisplay,months,0)</definedName>
    <definedName name="month" localSheetId="23">MATCH('October 2026'!MonthToDisplay,months,0)</definedName>
    <definedName name="month" localSheetId="35">MATCH('October 2027'!MonthToDisplay,months,0)</definedName>
    <definedName name="month" localSheetId="10">MATCH('September 2025'!MonthToDisplay,months,0)</definedName>
    <definedName name="month" localSheetId="22">MATCH('September 2026'!MonthToDisplay,months,0)</definedName>
    <definedName name="month" localSheetId="34">MATCH('September 2027'!MonthToDisplay,months,0)</definedName>
    <definedName name="month">MATCH([0]!MonthToDisplay,[0]!months,0)</definedName>
    <definedName name="months">{"January","February","March","April","May","June","July","August","September","October","November","December"}</definedName>
    <definedName name="MonthToDisplay" localSheetId="5">'April 2025'!$C$1</definedName>
    <definedName name="MonthToDisplay" localSheetId="17">'April 2026'!$C$1</definedName>
    <definedName name="MonthToDisplay" localSheetId="29">'April 2027'!$C$1</definedName>
    <definedName name="MonthToDisplay" localSheetId="9">'August 2025'!$C$1</definedName>
    <definedName name="MonthToDisplay" localSheetId="21">'August 2026'!$C$1</definedName>
    <definedName name="MonthToDisplay" localSheetId="33">'August 2027'!$C$1</definedName>
    <definedName name="MonthToDisplay" localSheetId="1">'December 2024 '!$C$1</definedName>
    <definedName name="MonthToDisplay" localSheetId="13">'December 2025'!$C$1</definedName>
    <definedName name="MonthToDisplay" localSheetId="25">'December 2026'!$C$1</definedName>
    <definedName name="MonthToDisplay" localSheetId="37">'December 2027'!$C$1</definedName>
    <definedName name="MonthToDisplay" localSheetId="3">'February 2025'!$C$1</definedName>
    <definedName name="MonthToDisplay" localSheetId="15">'February 2026'!$C$1</definedName>
    <definedName name="MonthToDisplay" localSheetId="27">'February 2027'!$C$1</definedName>
    <definedName name="MonthToDisplay" localSheetId="2">'January 2025'!$C$1</definedName>
    <definedName name="MonthToDisplay" localSheetId="14">'January 2026'!$C$1</definedName>
    <definedName name="MonthToDisplay" localSheetId="26">'January 2027'!$C$1</definedName>
    <definedName name="MonthToDisplay" localSheetId="8">'July 2025'!$C$1</definedName>
    <definedName name="MonthToDisplay" localSheetId="20">'July 2026'!$C$1</definedName>
    <definedName name="MonthToDisplay" localSheetId="32">'July 2027'!$C$1</definedName>
    <definedName name="MonthToDisplay" localSheetId="7">'June 2025'!$C$1</definedName>
    <definedName name="MonthToDisplay" localSheetId="19">'June 2026'!$C$1</definedName>
    <definedName name="MonthToDisplay" localSheetId="31">'June 2027'!$C$1</definedName>
    <definedName name="MonthToDisplay" localSheetId="4">'March 2025'!$C$1</definedName>
    <definedName name="MonthToDisplay" localSheetId="16">'March 2026'!$C$1</definedName>
    <definedName name="MonthToDisplay" localSheetId="28">'March 2027'!$C$1</definedName>
    <definedName name="MonthToDisplay" localSheetId="6">'May 2025'!$C$1</definedName>
    <definedName name="MonthToDisplay" localSheetId="18">'May 2026'!$C$1</definedName>
    <definedName name="MonthToDisplay" localSheetId="30">'May 2027'!$C$1</definedName>
    <definedName name="MonthToDisplay" localSheetId="0">'November 2024'!$C$1</definedName>
    <definedName name="MonthToDisplay" localSheetId="12">'November 2025'!$C$1</definedName>
    <definedName name="MonthToDisplay" localSheetId="24">'November 2026'!$C$1</definedName>
    <definedName name="MonthToDisplay" localSheetId="36">'November 2027'!$C$1</definedName>
    <definedName name="MonthToDisplay" localSheetId="11">'October 2025'!$C$1</definedName>
    <definedName name="MonthToDisplay" localSheetId="23">'October 2026'!$C$1</definedName>
    <definedName name="MonthToDisplay" localSheetId="35">'October 2027'!$C$1</definedName>
    <definedName name="MonthToDisplay" localSheetId="10">'September 2025'!$C$1</definedName>
    <definedName name="MonthToDisplay" localSheetId="22">'September 2026'!$C$1</definedName>
    <definedName name="MonthToDisplay" localSheetId="34">'September 2027'!$C$1</definedName>
    <definedName name="MonthToDisplay">#REF!</definedName>
    <definedName name="MonthToDisplayNumber" localSheetId="5">MATCH('April 2025'!MonthToDisplay,months,0)</definedName>
    <definedName name="MonthToDisplayNumber" localSheetId="17">MATCH('April 2026'!MonthToDisplay,months,0)</definedName>
    <definedName name="MonthToDisplayNumber" localSheetId="29">MATCH('April 2027'!MonthToDisplay,months,0)</definedName>
    <definedName name="MonthToDisplayNumber" localSheetId="9">MATCH('August 2025'!MonthToDisplay,months,0)</definedName>
    <definedName name="MonthToDisplayNumber" localSheetId="21">MATCH('August 2026'!MonthToDisplay,months,0)</definedName>
    <definedName name="MonthToDisplayNumber" localSheetId="33">MATCH('August 2027'!MonthToDisplay,months,0)</definedName>
    <definedName name="MonthToDisplayNumber" localSheetId="1">MATCH('December 2024 '!MonthToDisplay,months,0)</definedName>
    <definedName name="MonthToDisplayNumber" localSheetId="13">MATCH('December 2025'!MonthToDisplay,months,0)</definedName>
    <definedName name="MonthToDisplayNumber" localSheetId="25">MATCH('December 2026'!MonthToDisplay,months,0)</definedName>
    <definedName name="MonthToDisplayNumber" localSheetId="37">MATCH('December 2027'!MonthToDisplay,months,0)</definedName>
    <definedName name="MonthToDisplayNumber" localSheetId="3">MATCH('February 2025'!MonthToDisplay,months,0)</definedName>
    <definedName name="MonthToDisplayNumber" localSheetId="15">MATCH('February 2026'!MonthToDisplay,months,0)</definedName>
    <definedName name="MonthToDisplayNumber" localSheetId="27">MATCH('February 2027'!MonthToDisplay,months,0)</definedName>
    <definedName name="MonthToDisplayNumber" localSheetId="2">MATCH('January 2025'!MonthToDisplay,months,0)</definedName>
    <definedName name="MonthToDisplayNumber" localSheetId="14">MATCH('January 2026'!MonthToDisplay,months,0)</definedName>
    <definedName name="MonthToDisplayNumber" localSheetId="26">MATCH('January 2027'!MonthToDisplay,months,0)</definedName>
    <definedName name="MonthToDisplayNumber" localSheetId="8">MATCH('July 2025'!MonthToDisplay,months,0)</definedName>
    <definedName name="MonthToDisplayNumber" localSheetId="20">MATCH('July 2026'!MonthToDisplay,months,0)</definedName>
    <definedName name="MonthToDisplayNumber" localSheetId="32">MATCH('July 2027'!MonthToDisplay,months,0)</definedName>
    <definedName name="MonthToDisplayNumber" localSheetId="7">MATCH('June 2025'!MonthToDisplay,months,0)</definedName>
    <definedName name="MonthToDisplayNumber" localSheetId="19">MATCH('June 2026'!MonthToDisplay,months,0)</definedName>
    <definedName name="MonthToDisplayNumber" localSheetId="31">MATCH('June 2027'!MonthToDisplay,months,0)</definedName>
    <definedName name="MonthToDisplayNumber" localSheetId="4">MATCH('March 2025'!MonthToDisplay,months,0)</definedName>
    <definedName name="MonthToDisplayNumber" localSheetId="16">MATCH('March 2026'!MonthToDisplay,months,0)</definedName>
    <definedName name="MonthToDisplayNumber" localSheetId="28">MATCH('March 2027'!MonthToDisplay,months,0)</definedName>
    <definedName name="MonthToDisplayNumber" localSheetId="6">MATCH('May 2025'!MonthToDisplay,months,0)</definedName>
    <definedName name="MonthToDisplayNumber" localSheetId="18">MATCH('May 2026'!MonthToDisplay,months,0)</definedName>
    <definedName name="MonthToDisplayNumber" localSheetId="30">MATCH('May 2027'!MonthToDisplay,months,0)</definedName>
    <definedName name="MonthToDisplayNumber" localSheetId="0">MATCH('November 2024'!MonthToDisplay,months,0)</definedName>
    <definedName name="MonthToDisplayNumber" localSheetId="12">MATCH('November 2025'!MonthToDisplay,months,0)</definedName>
    <definedName name="MonthToDisplayNumber" localSheetId="24">MATCH('November 2026'!MonthToDisplay,months,0)</definedName>
    <definedName name="MonthToDisplayNumber" localSheetId="36">MATCH('November 2027'!MonthToDisplay,months,0)</definedName>
    <definedName name="MonthToDisplayNumber" localSheetId="11">MATCH('October 2025'!MonthToDisplay,months,0)</definedName>
    <definedName name="MonthToDisplayNumber" localSheetId="23">MATCH('October 2026'!MonthToDisplay,months,0)</definedName>
    <definedName name="MonthToDisplayNumber" localSheetId="35">MATCH('October 2027'!MonthToDisplay,months,0)</definedName>
    <definedName name="MonthToDisplayNumber" localSheetId="10">MATCH('September 2025'!MonthToDisplay,months,0)</definedName>
    <definedName name="MonthToDisplayNumber" localSheetId="22">MATCH('September 2026'!MonthToDisplay,months,0)</definedName>
    <definedName name="MonthToDisplayNumber" localSheetId="34">MATCH('September 2027'!MonthToDisplay,months,0)</definedName>
    <definedName name="MonthToDisplayNumber">MATCH([0]!MonthToDisplay,months,0)</definedName>
    <definedName name="ndx" localSheetId="5">ROUNDUP(MATCH(2,1/FREQUENCY(DATE('April 2025'!YearToDisplay,'April 2025'!MonthToDisplayNumber,1),'April 2025'!calendar))/7,0)</definedName>
    <definedName name="ndx" localSheetId="17">ROUNDUP(MATCH(2,1/FREQUENCY(DATE('April 2026'!YearToDisplay,'April 2026'!MonthToDisplayNumber,1),'April 2026'!calendar))/7,0)</definedName>
    <definedName name="ndx" localSheetId="29">ROUNDUP(MATCH(2,1/FREQUENCY(DATE('April 2027'!YearToDisplay,'April 2027'!MonthToDisplayNumber,1),'April 2027'!calendar))/7,0)</definedName>
    <definedName name="ndx" localSheetId="9">ROUNDUP(MATCH(2,1/FREQUENCY(DATE('August 2025'!YearToDisplay,'August 2025'!MonthToDisplayNumber,1),'August 2025'!calendar))/7,0)</definedName>
    <definedName name="ndx" localSheetId="21">ROUNDUP(MATCH(2,1/FREQUENCY(DATE('August 2026'!YearToDisplay,'August 2026'!MonthToDisplayNumber,1),'August 2026'!calendar))/7,0)</definedName>
    <definedName name="ndx" localSheetId="33">ROUNDUP(MATCH(2,1/FREQUENCY(DATE('August 2027'!YearToDisplay,'August 2027'!MonthToDisplayNumber,1),'August 2027'!calendar))/7,0)</definedName>
    <definedName name="ndx" localSheetId="1">ROUNDUP(MATCH(2,1/FREQUENCY(DATE('December 2024 '!YearToDisplay,'December 2024 '!MonthToDisplayNumber,1),'December 2024 '!calendar))/7,0)</definedName>
    <definedName name="ndx" localSheetId="13">ROUNDUP(MATCH(2,1/FREQUENCY(DATE('December 2025'!YearToDisplay,'December 2025'!MonthToDisplayNumber,1),'December 2025'!calendar))/7,0)</definedName>
    <definedName name="ndx" localSheetId="25">ROUNDUP(MATCH(2,1/FREQUENCY(DATE('December 2026'!YearToDisplay,'December 2026'!MonthToDisplayNumber,1),'December 2026'!calendar))/7,0)</definedName>
    <definedName name="ndx" localSheetId="37">ROUNDUP(MATCH(2,1/FREQUENCY(DATE('December 2027'!YearToDisplay,'December 2027'!MonthToDisplayNumber,1),'December 2027'!calendar))/7,0)</definedName>
    <definedName name="ndx" localSheetId="3">ROUNDUP(MATCH(2,1/FREQUENCY(DATE('February 2025'!YearToDisplay,'February 2025'!MonthToDisplayNumber,1),'February 2025'!calendar))/7,0)</definedName>
    <definedName name="ndx" localSheetId="15">ROUNDUP(MATCH(2,1/FREQUENCY(DATE('February 2026'!YearToDisplay,'February 2026'!MonthToDisplayNumber,1),'February 2026'!calendar))/7,0)</definedName>
    <definedName name="ndx" localSheetId="27">ROUNDUP(MATCH(2,1/FREQUENCY(DATE('February 2027'!YearToDisplay,'February 2027'!MonthToDisplayNumber,1),'February 2027'!calendar))/7,0)</definedName>
    <definedName name="ndx" localSheetId="2">ROUNDUP(MATCH(2,1/FREQUENCY(DATE('January 2025'!YearToDisplay,'January 2025'!MonthToDisplayNumber,1),'January 2025'!calendar))/7,0)</definedName>
    <definedName name="ndx" localSheetId="14">ROUNDUP(MATCH(2,1/FREQUENCY(DATE('January 2026'!YearToDisplay,'January 2026'!MonthToDisplayNumber,1),'January 2026'!calendar))/7,0)</definedName>
    <definedName name="ndx" localSheetId="26">ROUNDUP(MATCH(2,1/FREQUENCY(DATE('January 2027'!YearToDisplay,'January 2027'!MonthToDisplayNumber,1),'January 2027'!calendar))/7,0)</definedName>
    <definedName name="ndx" localSheetId="8">ROUNDUP(MATCH(2,1/FREQUENCY(DATE('July 2025'!YearToDisplay,'July 2025'!MonthToDisplayNumber,1),'July 2025'!calendar))/7,0)</definedName>
    <definedName name="ndx" localSheetId="20">ROUNDUP(MATCH(2,1/FREQUENCY(DATE('July 2026'!YearToDisplay,'July 2026'!MonthToDisplayNumber,1),'July 2026'!calendar))/7,0)</definedName>
    <definedName name="ndx" localSheetId="32">ROUNDUP(MATCH(2,1/FREQUENCY(DATE('July 2027'!YearToDisplay,'July 2027'!MonthToDisplayNumber,1),'July 2027'!calendar))/7,0)</definedName>
    <definedName name="ndx" localSheetId="7">ROUNDUP(MATCH(2,1/FREQUENCY(DATE('June 2025'!YearToDisplay,'June 2025'!MonthToDisplayNumber,1),'June 2025'!calendar))/7,0)</definedName>
    <definedName name="ndx" localSheetId="19">ROUNDUP(MATCH(2,1/FREQUENCY(DATE('June 2026'!YearToDisplay,'June 2026'!MonthToDisplayNumber,1),'June 2026'!calendar))/7,0)</definedName>
    <definedName name="ndx" localSheetId="31">ROUNDUP(MATCH(2,1/FREQUENCY(DATE('June 2027'!YearToDisplay,'June 2027'!MonthToDisplayNumber,1),'June 2027'!calendar))/7,0)</definedName>
    <definedName name="ndx" localSheetId="4">ROUNDUP(MATCH(2,1/FREQUENCY(DATE('March 2025'!YearToDisplay,'March 2025'!MonthToDisplayNumber,1),'March 2025'!calendar))/7,0)</definedName>
    <definedName name="ndx" localSheetId="16">ROUNDUP(MATCH(2,1/FREQUENCY(DATE('March 2026'!YearToDisplay,'March 2026'!MonthToDisplayNumber,1),'March 2026'!calendar))/7,0)</definedName>
    <definedName name="ndx" localSheetId="28">ROUNDUP(MATCH(2,1/FREQUENCY(DATE('March 2027'!YearToDisplay,'March 2027'!MonthToDisplayNumber,1),'March 2027'!calendar))/7,0)</definedName>
    <definedName name="ndx" localSheetId="6">ROUNDUP(MATCH(2,1/FREQUENCY(DATE('May 2025'!YearToDisplay,'May 2025'!MonthToDisplayNumber,1),'May 2025'!calendar))/7,0)</definedName>
    <definedName name="ndx" localSheetId="18">ROUNDUP(MATCH(2,1/FREQUENCY(DATE('May 2026'!YearToDisplay,'May 2026'!MonthToDisplayNumber,1),'May 2026'!calendar))/7,0)</definedName>
    <definedName name="ndx" localSheetId="30">ROUNDUP(MATCH(2,1/FREQUENCY(DATE('May 2027'!YearToDisplay,'May 2027'!MonthToDisplayNumber,1),'May 2027'!calendar))/7,0)</definedName>
    <definedName name="ndx" localSheetId="0">ROUNDUP(MATCH(2,1/FREQUENCY(DATE('November 2024'!YearToDisplay,'November 2024'!MonthToDisplayNumber,1),'November 2024'!calendar))/7,0)</definedName>
    <definedName name="ndx" localSheetId="12">ROUNDUP(MATCH(2,1/FREQUENCY(DATE('November 2025'!YearToDisplay,'November 2025'!MonthToDisplayNumber,1),'November 2025'!calendar))/7,0)</definedName>
    <definedName name="ndx" localSheetId="24">ROUNDUP(MATCH(2,1/FREQUENCY(DATE('November 2026'!YearToDisplay,'November 2026'!MonthToDisplayNumber,1),'November 2026'!calendar))/7,0)</definedName>
    <definedName name="ndx" localSheetId="36">ROUNDUP(MATCH(2,1/FREQUENCY(DATE('November 2027'!YearToDisplay,'November 2027'!MonthToDisplayNumber,1),'November 2027'!calendar))/7,0)</definedName>
    <definedName name="ndx" localSheetId="11">ROUNDUP(MATCH(2,1/FREQUENCY(DATE('October 2025'!YearToDisplay,'October 2025'!MonthToDisplayNumber,1),'October 2025'!calendar))/7,0)</definedName>
    <definedName name="ndx" localSheetId="23">ROUNDUP(MATCH(2,1/FREQUENCY(DATE('October 2026'!YearToDisplay,'October 2026'!MonthToDisplayNumber,1),'October 2026'!calendar))/7,0)</definedName>
    <definedName name="ndx" localSheetId="35">ROUNDUP(MATCH(2,1/FREQUENCY(DATE('October 2027'!YearToDisplay,'October 2027'!MonthToDisplayNumber,1),'October 2027'!calendar))/7,0)</definedName>
    <definedName name="ndx" localSheetId="10">ROUNDUP(MATCH(2,1/FREQUENCY(DATE('September 2025'!YearToDisplay,'September 2025'!MonthToDisplayNumber,1),'September 2025'!calendar))/7,0)</definedName>
    <definedName name="ndx" localSheetId="22">ROUNDUP(MATCH(2,1/FREQUENCY(DATE('September 2026'!YearToDisplay,'September 2026'!MonthToDisplayNumber,1),'September 2026'!calendar))/7,0)</definedName>
    <definedName name="ndx" localSheetId="34">ROUNDUP(MATCH(2,1/FREQUENCY(DATE('September 2027'!YearToDisplay,'September 2027'!MonthToDisplayNumber,1),'September 2027'!calendar))/7,0)</definedName>
    <definedName name="_xlnm.Print_Titles" localSheetId="5">'April 2025'!$3:$3</definedName>
    <definedName name="_xlnm.Print_Titles" localSheetId="17">'April 2026'!$3:$3</definedName>
    <definedName name="_xlnm.Print_Titles" localSheetId="29">'April 2027'!$3:$3</definedName>
    <definedName name="_xlnm.Print_Titles" localSheetId="9">'August 2025'!$3:$3</definedName>
    <definedName name="_xlnm.Print_Titles" localSheetId="21">'August 2026'!$3:$3</definedName>
    <definedName name="_xlnm.Print_Titles" localSheetId="33">'August 2027'!$3:$3</definedName>
    <definedName name="_xlnm.Print_Titles" localSheetId="1">'December 2024 '!$3:$3</definedName>
    <definedName name="_xlnm.Print_Titles" localSheetId="13">'December 2025'!$3:$3</definedName>
    <definedName name="_xlnm.Print_Titles" localSheetId="25">'December 2026'!$3:$3</definedName>
    <definedName name="_xlnm.Print_Titles" localSheetId="37">'December 2027'!$3:$3</definedName>
    <definedName name="_xlnm.Print_Titles" localSheetId="3">'February 2025'!$3:$3</definedName>
    <definedName name="_xlnm.Print_Titles" localSheetId="15">'February 2026'!$3:$3</definedName>
    <definedName name="_xlnm.Print_Titles" localSheetId="27">'February 2027'!$3:$3</definedName>
    <definedName name="_xlnm.Print_Titles" localSheetId="2">'January 2025'!$3:$3</definedName>
    <definedName name="_xlnm.Print_Titles" localSheetId="14">'January 2026'!$3:$3</definedName>
    <definedName name="_xlnm.Print_Titles" localSheetId="26">'January 2027'!$3:$3</definedName>
    <definedName name="_xlnm.Print_Titles" localSheetId="8">'July 2025'!$3:$3</definedName>
    <definedName name="_xlnm.Print_Titles" localSheetId="20">'July 2026'!$3:$3</definedName>
    <definedName name="_xlnm.Print_Titles" localSheetId="32">'July 2027'!$3:$3</definedName>
    <definedName name="_xlnm.Print_Titles" localSheetId="7">'June 2025'!$3:$3</definedName>
    <definedName name="_xlnm.Print_Titles" localSheetId="19">'June 2026'!$3:$3</definedName>
    <definedName name="_xlnm.Print_Titles" localSheetId="31">'June 2027'!$3:$3</definedName>
    <definedName name="_xlnm.Print_Titles" localSheetId="4">'March 2025'!$3:$3</definedName>
    <definedName name="_xlnm.Print_Titles" localSheetId="16">'March 2026'!$3:$3</definedName>
    <definedName name="_xlnm.Print_Titles" localSheetId="28">'March 2027'!$3:$3</definedName>
    <definedName name="_xlnm.Print_Titles" localSheetId="6">'May 2025'!$3:$3</definedName>
    <definedName name="_xlnm.Print_Titles" localSheetId="18">'May 2026'!$3:$3</definedName>
    <definedName name="_xlnm.Print_Titles" localSheetId="30">'May 2027'!$3:$3</definedName>
    <definedName name="_xlnm.Print_Titles" localSheetId="0">'November 2024'!$3:$3</definedName>
    <definedName name="_xlnm.Print_Titles" localSheetId="12">'November 2025'!$3:$3</definedName>
    <definedName name="_xlnm.Print_Titles" localSheetId="24">'November 2026'!$3:$3</definedName>
    <definedName name="_xlnm.Print_Titles" localSheetId="36">'November 2027'!$3:$3</definedName>
    <definedName name="_xlnm.Print_Titles" localSheetId="11">'October 2025'!$3:$3</definedName>
    <definedName name="_xlnm.Print_Titles" localSheetId="23">'October 2026'!$3:$3</definedName>
    <definedName name="_xlnm.Print_Titles" localSheetId="35">'October 2027'!$3:$3</definedName>
    <definedName name="_xlnm.Print_Titles" localSheetId="10">'September 2025'!$3:$3</definedName>
    <definedName name="_xlnm.Print_Titles" localSheetId="22">'September 2026'!$3:$3</definedName>
    <definedName name="_xlnm.Print_Titles" localSheetId="34">'September 2027'!$3:$3</definedName>
    <definedName name="startdate" localSheetId="5">DATE('April 2025'!YearToDisplay,'April 2025'!month,1)</definedName>
    <definedName name="startdate" localSheetId="17">DATE('April 2026'!YearToDisplay,'April 2026'!month,1)</definedName>
    <definedName name="startdate" localSheetId="29">DATE('April 2027'!YearToDisplay,'April 2027'!month,1)</definedName>
    <definedName name="startdate" localSheetId="9">DATE('August 2025'!YearToDisplay,'August 2025'!month,1)</definedName>
    <definedName name="startdate" localSheetId="21">DATE('August 2026'!YearToDisplay,'August 2026'!month,1)</definedName>
    <definedName name="startdate" localSheetId="33">DATE('August 2027'!YearToDisplay,'August 2027'!month,1)</definedName>
    <definedName name="startdate" localSheetId="1">DATE('December 2024 '!YearToDisplay,'December 2024 '!month,1)</definedName>
    <definedName name="startdate" localSheetId="13">DATE('December 2025'!YearToDisplay,'December 2025'!month,1)</definedName>
    <definedName name="startdate" localSheetId="25">DATE('December 2026'!YearToDisplay,'December 2026'!month,1)</definedName>
    <definedName name="startdate" localSheetId="37">DATE('December 2027'!YearToDisplay,'December 2027'!month,1)</definedName>
    <definedName name="startdate" localSheetId="3">DATE('February 2025'!YearToDisplay,'February 2025'!month,1)</definedName>
    <definedName name="startdate" localSheetId="15">DATE('February 2026'!YearToDisplay,'February 2026'!month,1)</definedName>
    <definedName name="startdate" localSheetId="27">DATE('February 2027'!YearToDisplay,'February 2027'!month,1)</definedName>
    <definedName name="startdate" localSheetId="2">DATE('January 2025'!YearToDisplay,'January 2025'!month,1)</definedName>
    <definedName name="startdate" localSheetId="14">DATE('January 2026'!YearToDisplay,'January 2026'!month,1)</definedName>
    <definedName name="startdate" localSheetId="26">DATE('January 2027'!YearToDisplay,'January 2027'!month,1)</definedName>
    <definedName name="startdate" localSheetId="8">DATE('July 2025'!YearToDisplay,'July 2025'!month,1)</definedName>
    <definedName name="startdate" localSheetId="20">DATE('July 2026'!YearToDisplay,'July 2026'!month,1)</definedName>
    <definedName name="startdate" localSheetId="32">DATE('July 2027'!YearToDisplay,'July 2027'!month,1)</definedName>
    <definedName name="startdate" localSheetId="7">DATE('June 2025'!YearToDisplay,'June 2025'!month,1)</definedName>
    <definedName name="startdate" localSheetId="19">DATE('June 2026'!YearToDisplay,'June 2026'!month,1)</definedName>
    <definedName name="startdate" localSheetId="31">DATE('June 2027'!YearToDisplay,'June 2027'!month,1)</definedName>
    <definedName name="startdate" localSheetId="4">DATE('March 2025'!YearToDisplay,'March 2025'!month,1)</definedName>
    <definedName name="startdate" localSheetId="16">DATE('March 2026'!YearToDisplay,'March 2026'!month,1)</definedName>
    <definedName name="startdate" localSheetId="28">DATE('March 2027'!YearToDisplay,'March 2027'!month,1)</definedName>
    <definedName name="startdate" localSheetId="6">DATE('May 2025'!YearToDisplay,'May 2025'!month,1)</definedName>
    <definedName name="startdate" localSheetId="18">DATE('May 2026'!YearToDisplay,'May 2026'!month,1)</definedName>
    <definedName name="startdate" localSheetId="30">DATE('May 2027'!YearToDisplay,'May 2027'!month,1)</definedName>
    <definedName name="startdate" localSheetId="0">DATE('November 2024'!YearToDisplay,'November 2024'!month,1)</definedName>
    <definedName name="startdate" localSheetId="12">DATE('November 2025'!YearToDisplay,'November 2025'!month,1)</definedName>
    <definedName name="startdate" localSheetId="24">DATE('November 2026'!YearToDisplay,'November 2026'!month,1)</definedName>
    <definedName name="startdate" localSheetId="36">DATE('November 2027'!YearToDisplay,'November 2027'!month,1)</definedName>
    <definedName name="startdate" localSheetId="11">DATE('October 2025'!YearToDisplay,'October 2025'!month,1)</definedName>
    <definedName name="startdate" localSheetId="23">DATE('October 2026'!YearToDisplay,'October 2026'!month,1)</definedName>
    <definedName name="startdate" localSheetId="35">DATE('October 2027'!YearToDisplay,'October 2027'!month,1)</definedName>
    <definedName name="startdate" localSheetId="10">DATE('September 2025'!YearToDisplay,'September 2025'!month,1)</definedName>
    <definedName name="startdate" localSheetId="22">DATE('September 2026'!YearToDisplay,'September 2026'!month,1)</definedName>
    <definedName name="startdate" localSheetId="34">DATE('September 2027'!YearToDisplay,'September 2027'!month,1)</definedName>
    <definedName name="weekday_option" localSheetId="5">MATCH('April 2025'!DayToStart,weekdays_reversed,0)-2</definedName>
    <definedName name="weekday_option" localSheetId="17">MATCH('April 2026'!DayToStart,[0]!weekdays_reversed,0)-2</definedName>
    <definedName name="weekday_option" localSheetId="29">MATCH('April 2027'!DayToStart,[0]!weekdays_reversed,0)-2</definedName>
    <definedName name="weekday_option" localSheetId="9">MATCH('August 2025'!DayToStart,weekdays_reversed,0)-2</definedName>
    <definedName name="weekday_option" localSheetId="21">MATCH('August 2026'!DayToStart,[0]!weekdays_reversed,0)-2</definedName>
    <definedName name="weekday_option" localSheetId="33">MATCH('August 2027'!DayToStart,[0]!weekdays_reversed,0)-2</definedName>
    <definedName name="weekday_option" localSheetId="1">MATCH('December 2024 '!DayToStart,weekdays_reversed,0)-2</definedName>
    <definedName name="weekday_option" localSheetId="13">MATCH('December 2025'!DayToStart,weekdays_reversed,0)-2</definedName>
    <definedName name="weekday_option" localSheetId="25">MATCH('December 2026'!DayToStart,[0]!weekdays_reversed,0)-2</definedName>
    <definedName name="weekday_option" localSheetId="37">MATCH('December 2027'!DayToStart,[0]!weekdays_reversed,0)-2</definedName>
    <definedName name="weekday_option" localSheetId="15">MATCH('February 2026'!DayToStart,[0]!weekdays_reversed,0)-2</definedName>
    <definedName name="weekday_option" localSheetId="27">MATCH('February 2027'!DayToStart,[0]!weekdays_reversed,0)-2</definedName>
    <definedName name="weekday_option" localSheetId="2">MATCH('January 2025'!DayToStart,weekdays_reversed,0)-2</definedName>
    <definedName name="weekday_option" localSheetId="14">MATCH('January 2026'!DayToStart,[0]!weekdays_reversed,0)-2</definedName>
    <definedName name="weekday_option" localSheetId="26">MATCH('January 2027'!DayToStart,[0]!weekdays_reversed,0)-2</definedName>
    <definedName name="weekday_option" localSheetId="8">MATCH('July 2025'!DayToStart,weekdays_reversed,0)-2</definedName>
    <definedName name="weekday_option" localSheetId="20">MATCH('July 2026'!DayToStart,[0]!weekdays_reversed,0)-2</definedName>
    <definedName name="weekday_option" localSheetId="32">MATCH('July 2027'!DayToStart,[0]!weekdays_reversed,0)-2</definedName>
    <definedName name="weekday_option" localSheetId="7">MATCH('June 2025'!DayToStart,weekdays_reversed,0)-2</definedName>
    <definedName name="weekday_option" localSheetId="19">MATCH('June 2026'!DayToStart,[0]!weekdays_reversed,0)-2</definedName>
    <definedName name="weekday_option" localSheetId="31">MATCH('June 2027'!DayToStart,[0]!weekdays_reversed,0)-2</definedName>
    <definedName name="weekday_option" localSheetId="4">MATCH('March 2025'!DayToStart,weekdays_reversed,0)-2</definedName>
    <definedName name="weekday_option" localSheetId="16">MATCH('March 2026'!DayToStart,[0]!weekdays_reversed,0)-2</definedName>
    <definedName name="weekday_option" localSheetId="28">MATCH('March 2027'!DayToStart,[0]!weekdays_reversed,0)-2</definedName>
    <definedName name="weekday_option" localSheetId="6">MATCH('May 2025'!DayToStart,weekdays_reversed,0)-2</definedName>
    <definedName name="weekday_option" localSheetId="18">MATCH('May 2026'!DayToStart,[0]!weekdays_reversed,0)-2</definedName>
    <definedName name="weekday_option" localSheetId="30">MATCH('May 2027'!DayToStart,[0]!weekdays_reversed,0)-2</definedName>
    <definedName name="weekday_option" localSheetId="0">MATCH('November 2024'!DayToStart,weekdays_reversed,0)-2</definedName>
    <definedName name="weekday_option" localSheetId="12">MATCH('November 2025'!DayToStart,weekdays_reversed,0)-2</definedName>
    <definedName name="weekday_option" localSheetId="24">MATCH('November 2026'!DayToStart,[0]!weekdays_reversed,0)-2</definedName>
    <definedName name="weekday_option" localSheetId="36">MATCH('November 2027'!DayToStart,[0]!weekdays_reversed,0)-2</definedName>
    <definedName name="weekday_option" localSheetId="11">MATCH('October 2025'!DayToStart,weekdays_reversed,0)-2</definedName>
    <definedName name="weekday_option" localSheetId="23">MATCH('October 2026'!DayToStart,[0]!weekdays_reversed,0)-2</definedName>
    <definedName name="weekday_option" localSheetId="35">MATCH('October 2027'!DayToStart,[0]!weekdays_reversed,0)-2</definedName>
    <definedName name="weekday_option" localSheetId="10">MATCH('September 2025'!DayToStart,weekdays_reversed,0)-2</definedName>
    <definedName name="weekday_option" localSheetId="22">MATCH('September 2026'!DayToStart,[0]!weekdays_reversed,0)-2</definedName>
    <definedName name="weekday_option" localSheetId="34">MATCH('September 2027'!DayToStart,[0]!weekdays_reversed,0)-2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YearToDisplay" localSheetId="5">'April 2025'!$B$1</definedName>
    <definedName name="YearToDisplay" localSheetId="17">'April 2026'!$B$1</definedName>
    <definedName name="YearToDisplay" localSheetId="29">'April 2027'!$B$1</definedName>
    <definedName name="YearToDisplay" localSheetId="9">'August 2025'!$B$1</definedName>
    <definedName name="YearToDisplay" localSheetId="21">'August 2026'!$B$1</definedName>
    <definedName name="YearToDisplay" localSheetId="33">'August 2027'!$B$1</definedName>
    <definedName name="YearToDisplay" localSheetId="1">'December 2024 '!$B$1</definedName>
    <definedName name="YearToDisplay" localSheetId="13">'December 2025'!$B$1</definedName>
    <definedName name="YearToDisplay" localSheetId="25">'December 2026'!$B$1</definedName>
    <definedName name="YearToDisplay" localSheetId="37">'December 2027'!$B$1</definedName>
    <definedName name="YearToDisplay" localSheetId="3">'February 2025'!$B$1</definedName>
    <definedName name="YearToDisplay" localSheetId="15">'February 2026'!$B$1</definedName>
    <definedName name="YearToDisplay" localSheetId="27">'February 2027'!$B$1</definedName>
    <definedName name="YearToDisplay" localSheetId="2">'January 2025'!$B$1</definedName>
    <definedName name="YearToDisplay" localSheetId="14">'January 2026'!$B$1</definedName>
    <definedName name="YearToDisplay" localSheetId="26">'January 2027'!$B$1</definedName>
    <definedName name="YearToDisplay" localSheetId="8">'July 2025'!$B$1</definedName>
    <definedName name="YearToDisplay" localSheetId="20">'July 2026'!$B$1</definedName>
    <definedName name="YearToDisplay" localSheetId="32">'July 2027'!$B$1</definedName>
    <definedName name="YearToDisplay" localSheetId="7">'June 2025'!$B$1</definedName>
    <definedName name="YearToDisplay" localSheetId="19">'June 2026'!$B$1</definedName>
    <definedName name="YearToDisplay" localSheetId="31">'June 2027'!$B$1</definedName>
    <definedName name="YearToDisplay" localSheetId="4">'March 2025'!$B$1</definedName>
    <definedName name="YearToDisplay" localSheetId="16">'March 2026'!$B$1</definedName>
    <definedName name="YearToDisplay" localSheetId="28">'March 2027'!$B$1</definedName>
    <definedName name="YearToDisplay" localSheetId="6">'May 2025'!$B$1</definedName>
    <definedName name="YearToDisplay" localSheetId="18">'May 2026'!$B$1</definedName>
    <definedName name="YearToDisplay" localSheetId="30">'May 2027'!$B$1</definedName>
    <definedName name="YearToDisplay" localSheetId="0">'November 2024'!$B$1</definedName>
    <definedName name="YearToDisplay" localSheetId="12">'November 2025'!$B$1</definedName>
    <definedName name="YearToDisplay" localSheetId="24">'November 2026'!$B$1</definedName>
    <definedName name="YearToDisplay" localSheetId="36">'November 2027'!$B$1</definedName>
    <definedName name="YearToDisplay" localSheetId="11">'October 2025'!$B$1</definedName>
    <definedName name="YearToDisplay" localSheetId="23">'October 2026'!$B$1</definedName>
    <definedName name="YearToDisplay" localSheetId="35">'October 2027'!$B$1</definedName>
    <definedName name="YearToDisplay" localSheetId="10">'September 2025'!$B$1</definedName>
    <definedName name="YearToDisplay" localSheetId="22">'September 2026'!$B$1</definedName>
    <definedName name="YearToDisplay" localSheetId="34">'September 2027'!$B$1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3" l="1" a="1"/>
  <c r="H14" i="43" s="1"/>
  <c r="B12" i="43" a="1"/>
  <c r="D12" i="43" s="1"/>
  <c r="B10" i="43" a="1"/>
  <c r="H10" i="43" s="1"/>
  <c r="B8" i="43" a="1"/>
  <c r="H8" i="43" s="1"/>
  <c r="B6" i="43" a="1"/>
  <c r="D6" i="43" s="1"/>
  <c r="B4" i="43" a="1"/>
  <c r="H4" i="43" s="1"/>
  <c r="B3" i="43" a="1"/>
  <c r="H3" i="43" s="1"/>
  <c r="B14" i="42" a="1"/>
  <c r="H14" i="42" s="1"/>
  <c r="B12" i="42" a="1"/>
  <c r="D12" i="42" s="1"/>
  <c r="B10" i="42" a="1"/>
  <c r="H10" i="42" s="1"/>
  <c r="B8" i="42" a="1"/>
  <c r="H8" i="42" s="1"/>
  <c r="B6" i="42" a="1"/>
  <c r="D6" i="42" s="1"/>
  <c r="B4" i="42" a="1"/>
  <c r="H4" i="42" s="1"/>
  <c r="B3" i="42" a="1"/>
  <c r="H3" i="42" s="1"/>
  <c r="B14" i="41" a="1"/>
  <c r="H14" i="41" s="1"/>
  <c r="B12" i="41" a="1"/>
  <c r="D12" i="41" s="1"/>
  <c r="B10" i="41" a="1"/>
  <c r="H10" i="41" s="1"/>
  <c r="B8" i="41" a="1"/>
  <c r="H8" i="41" s="1"/>
  <c r="B6" i="41" a="1"/>
  <c r="D6" i="41" s="1"/>
  <c r="B4" i="41" a="1"/>
  <c r="H4" i="41" s="1"/>
  <c r="B3" i="41" a="1"/>
  <c r="H3" i="41" s="1"/>
  <c r="B14" i="40" a="1"/>
  <c r="H14" i="40" s="1"/>
  <c r="B12" i="40" a="1"/>
  <c r="D12" i="40" s="1"/>
  <c r="B10" i="40" a="1"/>
  <c r="H10" i="40" s="1"/>
  <c r="B8" i="40" a="1"/>
  <c r="H8" i="40" s="1"/>
  <c r="B6" i="40" a="1"/>
  <c r="D6" i="40" s="1"/>
  <c r="B4" i="40" a="1"/>
  <c r="H4" i="40" s="1"/>
  <c r="B3" i="40" a="1"/>
  <c r="H3" i="40" s="1"/>
  <c r="B14" i="39" a="1"/>
  <c r="H14" i="39" s="1"/>
  <c r="B12" i="39" a="1"/>
  <c r="D12" i="39" s="1"/>
  <c r="B10" i="39" a="1"/>
  <c r="H10" i="39" s="1"/>
  <c r="B8" i="39" a="1"/>
  <c r="H8" i="39" s="1"/>
  <c r="B6" i="39" a="1"/>
  <c r="D6" i="39" s="1"/>
  <c r="B4" i="39" a="1"/>
  <c r="H4" i="39" s="1"/>
  <c r="B3" i="39" a="1"/>
  <c r="H3" i="39" s="1"/>
  <c r="B14" i="38" a="1"/>
  <c r="H14" i="38" s="1"/>
  <c r="B12" i="38" a="1"/>
  <c r="D12" i="38" s="1"/>
  <c r="B10" i="38" a="1"/>
  <c r="H10" i="38" s="1"/>
  <c r="B8" i="38" a="1"/>
  <c r="H8" i="38" s="1"/>
  <c r="B6" i="38" a="1"/>
  <c r="D6" i="38" s="1"/>
  <c r="B4" i="38" a="1"/>
  <c r="H4" i="38" s="1"/>
  <c r="B3" i="38" a="1"/>
  <c r="H3" i="38" s="1"/>
  <c r="B14" i="37" a="1"/>
  <c r="H14" i="37" s="1"/>
  <c r="B12" i="37" a="1"/>
  <c r="D12" i="37" s="1"/>
  <c r="B10" i="37" a="1"/>
  <c r="H10" i="37" s="1"/>
  <c r="B8" i="37" a="1"/>
  <c r="H8" i="37" s="1"/>
  <c r="B6" i="37" a="1"/>
  <c r="D6" i="37" s="1"/>
  <c r="B4" i="37" a="1"/>
  <c r="H4" i="37" s="1"/>
  <c r="B3" i="37" a="1"/>
  <c r="H3" i="37" s="1"/>
  <c r="B14" i="36" a="1"/>
  <c r="H14" i="36" s="1"/>
  <c r="B12" i="36" a="1"/>
  <c r="D12" i="36" s="1"/>
  <c r="B10" i="36" a="1"/>
  <c r="H10" i="36" s="1"/>
  <c r="B8" i="36" a="1"/>
  <c r="H8" i="36" s="1"/>
  <c r="B6" i="36" a="1"/>
  <c r="D6" i="36" s="1"/>
  <c r="B4" i="36" a="1"/>
  <c r="H4" i="36" s="1"/>
  <c r="B3" i="36" a="1"/>
  <c r="H3" i="36" s="1"/>
  <c r="B14" i="35" a="1"/>
  <c r="H14" i="35" s="1"/>
  <c r="B12" i="35" a="1"/>
  <c r="D12" i="35" s="1"/>
  <c r="B10" i="35" a="1"/>
  <c r="H10" i="35" s="1"/>
  <c r="B8" i="35" a="1"/>
  <c r="H8" i="35" s="1"/>
  <c r="B6" i="35" a="1"/>
  <c r="D6" i="35" s="1"/>
  <c r="B4" i="35" a="1"/>
  <c r="H4" i="35" s="1"/>
  <c r="B3" i="35" a="1"/>
  <c r="H3" i="35" s="1"/>
  <c r="B14" i="33" a="1"/>
  <c r="H14" i="33" s="1"/>
  <c r="B12" i="33" a="1"/>
  <c r="D12" i="33" s="1"/>
  <c r="B10" i="33" a="1"/>
  <c r="E10" i="33" s="1"/>
  <c r="B8" i="33" a="1"/>
  <c r="H8" i="33" s="1"/>
  <c r="B6" i="33" a="1"/>
  <c r="D6" i="33" s="1"/>
  <c r="B4" i="33" a="1"/>
  <c r="H4" i="33" s="1"/>
  <c r="B3" i="33" a="1"/>
  <c r="H3" i="33" s="1"/>
  <c r="B14" i="32" a="1"/>
  <c r="H14" i="32" s="1"/>
  <c r="B12" i="32" a="1"/>
  <c r="D12" i="32" s="1"/>
  <c r="B10" i="32" a="1"/>
  <c r="H10" i="32" s="1"/>
  <c r="B8" i="32" a="1"/>
  <c r="H8" i="32" s="1"/>
  <c r="B6" i="32" a="1"/>
  <c r="D6" i="32" s="1"/>
  <c r="B4" i="32" a="1"/>
  <c r="H4" i="32" s="1"/>
  <c r="B3" i="32" a="1"/>
  <c r="H3" i="32" s="1"/>
  <c r="B14" i="31" a="1"/>
  <c r="H14" i="31" s="1"/>
  <c r="B12" i="31" a="1"/>
  <c r="D12" i="31" s="1"/>
  <c r="B10" i="31" a="1"/>
  <c r="D10" i="31" s="1"/>
  <c r="B8" i="31" a="1"/>
  <c r="H8" i="31" s="1"/>
  <c r="B6" i="31" a="1"/>
  <c r="D6" i="31" s="1"/>
  <c r="B4" i="31" a="1"/>
  <c r="C4" i="31" s="1"/>
  <c r="B3" i="31" a="1"/>
  <c r="H3" i="31" s="1"/>
  <c r="E4" i="43" l="1"/>
  <c r="E10" i="43"/>
  <c r="E6" i="43"/>
  <c r="E12" i="43"/>
  <c r="B4" i="43"/>
  <c r="F6" i="43"/>
  <c r="B10" i="43"/>
  <c r="F12" i="43"/>
  <c r="C4" i="43"/>
  <c r="G6" i="43"/>
  <c r="C10" i="43"/>
  <c r="G12" i="43"/>
  <c r="D4" i="43"/>
  <c r="H6" i="43"/>
  <c r="D10" i="43"/>
  <c r="H12" i="43"/>
  <c r="B3" i="43"/>
  <c r="F4" i="43"/>
  <c r="B8" i="43"/>
  <c r="F10" i="43"/>
  <c r="B14" i="43"/>
  <c r="C3" i="43"/>
  <c r="G4" i="43"/>
  <c r="C8" i="43"/>
  <c r="G10" i="43"/>
  <c r="C14" i="43"/>
  <c r="D3" i="43"/>
  <c r="D8" i="43"/>
  <c r="D14" i="43"/>
  <c r="E3" i="43"/>
  <c r="E8" i="43"/>
  <c r="E14" i="43"/>
  <c r="E3" i="42"/>
  <c r="F3" i="43"/>
  <c r="B6" i="43"/>
  <c r="F8" i="43"/>
  <c r="B12" i="43"/>
  <c r="F14" i="43"/>
  <c r="G3" i="43"/>
  <c r="C6" i="43"/>
  <c r="G8" i="43"/>
  <c r="C12" i="43"/>
  <c r="G14" i="43"/>
  <c r="E4" i="42"/>
  <c r="E10" i="42"/>
  <c r="E6" i="42"/>
  <c r="E12" i="42"/>
  <c r="B4" i="42"/>
  <c r="F6" i="42"/>
  <c r="B10" i="42"/>
  <c r="F12" i="42"/>
  <c r="C4" i="42"/>
  <c r="G6" i="42"/>
  <c r="C10" i="42"/>
  <c r="G12" i="42"/>
  <c r="D4" i="42"/>
  <c r="H6" i="42"/>
  <c r="D10" i="42"/>
  <c r="H12" i="42"/>
  <c r="B3" i="42"/>
  <c r="F4" i="42"/>
  <c r="B8" i="42"/>
  <c r="F10" i="42"/>
  <c r="B14" i="42"/>
  <c r="C3" i="42"/>
  <c r="G4" i="42"/>
  <c r="C8" i="42"/>
  <c r="G10" i="42"/>
  <c r="C14" i="42"/>
  <c r="D3" i="42"/>
  <c r="D8" i="42"/>
  <c r="D14" i="42"/>
  <c r="E8" i="42"/>
  <c r="E14" i="42"/>
  <c r="E3" i="41"/>
  <c r="F3" i="42"/>
  <c r="B6" i="42"/>
  <c r="F8" i="42"/>
  <c r="B12" i="42"/>
  <c r="F14" i="42"/>
  <c r="G3" i="42"/>
  <c r="C6" i="42"/>
  <c r="G8" i="42"/>
  <c r="C12" i="42"/>
  <c r="G14" i="42"/>
  <c r="E10" i="41"/>
  <c r="E6" i="41"/>
  <c r="E12" i="41"/>
  <c r="B4" i="41"/>
  <c r="F6" i="41"/>
  <c r="B10" i="41"/>
  <c r="F12" i="41"/>
  <c r="C4" i="41"/>
  <c r="G6" i="41"/>
  <c r="C10" i="41"/>
  <c r="G12" i="41"/>
  <c r="D4" i="41"/>
  <c r="H6" i="41"/>
  <c r="D10" i="41"/>
  <c r="H12" i="41"/>
  <c r="E4" i="41"/>
  <c r="B3" i="41"/>
  <c r="F4" i="41"/>
  <c r="B8" i="41"/>
  <c r="F10" i="41"/>
  <c r="B14" i="41"/>
  <c r="C3" i="41"/>
  <c r="G4" i="41"/>
  <c r="C8" i="41"/>
  <c r="G10" i="41"/>
  <c r="C14" i="41"/>
  <c r="D3" i="41"/>
  <c r="D8" i="41"/>
  <c r="D14" i="41"/>
  <c r="E8" i="41"/>
  <c r="E14" i="41"/>
  <c r="F3" i="41"/>
  <c r="B6" i="41"/>
  <c r="F8" i="41"/>
  <c r="B12" i="41"/>
  <c r="F14" i="41"/>
  <c r="G3" i="41"/>
  <c r="C6" i="41"/>
  <c r="G8" i="41"/>
  <c r="C12" i="41"/>
  <c r="G14" i="41"/>
  <c r="E6" i="40"/>
  <c r="E12" i="40"/>
  <c r="B4" i="40"/>
  <c r="F6" i="40"/>
  <c r="B10" i="40"/>
  <c r="F12" i="40"/>
  <c r="C4" i="40"/>
  <c r="G6" i="40"/>
  <c r="C10" i="40"/>
  <c r="G12" i="40"/>
  <c r="D4" i="40"/>
  <c r="H6" i="40"/>
  <c r="D10" i="40"/>
  <c r="H12" i="40"/>
  <c r="E4" i="40"/>
  <c r="E10" i="40"/>
  <c r="B3" i="40"/>
  <c r="F4" i="40"/>
  <c r="B8" i="40"/>
  <c r="F10" i="40"/>
  <c r="B14" i="40"/>
  <c r="C3" i="40"/>
  <c r="G4" i="40"/>
  <c r="C8" i="40"/>
  <c r="G10" i="40"/>
  <c r="C14" i="40"/>
  <c r="D3" i="40"/>
  <c r="D8" i="40"/>
  <c r="D14" i="40"/>
  <c r="E3" i="40"/>
  <c r="E8" i="40"/>
  <c r="E14" i="40"/>
  <c r="F3" i="40"/>
  <c r="B6" i="40"/>
  <c r="F8" i="40"/>
  <c r="B12" i="40"/>
  <c r="F14" i="40"/>
  <c r="G3" i="40"/>
  <c r="C6" i="40"/>
  <c r="G8" i="40"/>
  <c r="C12" i="40"/>
  <c r="G14" i="40"/>
  <c r="E6" i="39"/>
  <c r="E12" i="39"/>
  <c r="B4" i="39"/>
  <c r="F6" i="39"/>
  <c r="B10" i="39"/>
  <c r="F12" i="39"/>
  <c r="C4" i="39"/>
  <c r="G6" i="39"/>
  <c r="C10" i="39"/>
  <c r="G12" i="39"/>
  <c r="D4" i="39"/>
  <c r="H6" i="39"/>
  <c r="D10" i="39"/>
  <c r="H12" i="39"/>
  <c r="E4" i="39"/>
  <c r="E10" i="39"/>
  <c r="B3" i="39"/>
  <c r="F4" i="39"/>
  <c r="B8" i="39"/>
  <c r="F10" i="39"/>
  <c r="B14" i="39"/>
  <c r="C3" i="39"/>
  <c r="G4" i="39"/>
  <c r="C8" i="39"/>
  <c r="G10" i="39"/>
  <c r="C14" i="39"/>
  <c r="D3" i="39"/>
  <c r="D8" i="39"/>
  <c r="D14" i="39"/>
  <c r="E3" i="39"/>
  <c r="E8" i="39"/>
  <c r="E14" i="39"/>
  <c r="F3" i="39"/>
  <c r="B6" i="39"/>
  <c r="F8" i="39"/>
  <c r="B12" i="39"/>
  <c r="F14" i="39"/>
  <c r="G3" i="39"/>
  <c r="C6" i="39"/>
  <c r="G8" i="39"/>
  <c r="C12" i="39"/>
  <c r="G14" i="39"/>
  <c r="E4" i="38"/>
  <c r="E10" i="38"/>
  <c r="E6" i="38"/>
  <c r="E12" i="38"/>
  <c r="B4" i="38"/>
  <c r="F6" i="38"/>
  <c r="B10" i="38"/>
  <c r="F12" i="38"/>
  <c r="C4" i="38"/>
  <c r="G6" i="38"/>
  <c r="C10" i="38"/>
  <c r="G12" i="38"/>
  <c r="D4" i="38"/>
  <c r="H6" i="38"/>
  <c r="D10" i="38"/>
  <c r="H12" i="38"/>
  <c r="B3" i="38"/>
  <c r="F4" i="38"/>
  <c r="B8" i="38"/>
  <c r="F10" i="38"/>
  <c r="B14" i="38"/>
  <c r="C3" i="38"/>
  <c r="G4" i="38"/>
  <c r="C8" i="38"/>
  <c r="G10" i="38"/>
  <c r="C14" i="38"/>
  <c r="D3" i="38"/>
  <c r="D8" i="38"/>
  <c r="D14" i="38"/>
  <c r="E3" i="38"/>
  <c r="E8" i="38"/>
  <c r="E14" i="38"/>
  <c r="E3" i="37"/>
  <c r="F3" i="38"/>
  <c r="B6" i="38"/>
  <c r="F8" i="38"/>
  <c r="B12" i="38"/>
  <c r="F14" i="38"/>
  <c r="G3" i="38"/>
  <c r="C6" i="38"/>
  <c r="G8" i="38"/>
  <c r="C12" i="38"/>
  <c r="G14" i="38"/>
  <c r="E4" i="37"/>
  <c r="E10" i="37"/>
  <c r="E6" i="37"/>
  <c r="E12" i="37"/>
  <c r="B4" i="37"/>
  <c r="F6" i="37"/>
  <c r="B10" i="37"/>
  <c r="F12" i="37"/>
  <c r="C4" i="37"/>
  <c r="G6" i="37"/>
  <c r="C10" i="37"/>
  <c r="G12" i="37"/>
  <c r="D4" i="37"/>
  <c r="H6" i="37"/>
  <c r="D10" i="37"/>
  <c r="H12" i="37"/>
  <c r="B3" i="37"/>
  <c r="F4" i="37"/>
  <c r="B8" i="37"/>
  <c r="F10" i="37"/>
  <c r="B14" i="37"/>
  <c r="C3" i="37"/>
  <c r="G4" i="37"/>
  <c r="C8" i="37"/>
  <c r="G10" i="37"/>
  <c r="C14" i="37"/>
  <c r="D3" i="37"/>
  <c r="D8" i="37"/>
  <c r="D14" i="37"/>
  <c r="E8" i="37"/>
  <c r="E14" i="37"/>
  <c r="F3" i="37"/>
  <c r="B6" i="37"/>
  <c r="F8" i="37"/>
  <c r="B12" i="37"/>
  <c r="F14" i="37"/>
  <c r="G3" i="37"/>
  <c r="C6" i="37"/>
  <c r="G8" i="37"/>
  <c r="C12" i="37"/>
  <c r="G14" i="37"/>
  <c r="E6" i="36"/>
  <c r="E12" i="36"/>
  <c r="B4" i="36"/>
  <c r="F6" i="36"/>
  <c r="B10" i="36"/>
  <c r="F12" i="36"/>
  <c r="C4" i="36"/>
  <c r="G6" i="36"/>
  <c r="C10" i="36"/>
  <c r="G12" i="36"/>
  <c r="D4" i="36"/>
  <c r="H6" i="36"/>
  <c r="D10" i="36"/>
  <c r="H12" i="36"/>
  <c r="E4" i="36"/>
  <c r="E10" i="36"/>
  <c r="B3" i="36"/>
  <c r="F4" i="36"/>
  <c r="B8" i="36"/>
  <c r="F10" i="36"/>
  <c r="B14" i="36"/>
  <c r="C3" i="36"/>
  <c r="G4" i="36"/>
  <c r="C8" i="36"/>
  <c r="G10" i="36"/>
  <c r="C14" i="36"/>
  <c r="D3" i="36"/>
  <c r="D8" i="36"/>
  <c r="D14" i="36"/>
  <c r="E8" i="36"/>
  <c r="E14" i="36"/>
  <c r="E3" i="36"/>
  <c r="F3" i="36"/>
  <c r="B6" i="36"/>
  <c r="F8" i="36"/>
  <c r="B12" i="36"/>
  <c r="F14" i="36"/>
  <c r="G3" i="36"/>
  <c r="C6" i="36"/>
  <c r="G8" i="36"/>
  <c r="C12" i="36"/>
  <c r="G14" i="36"/>
  <c r="E10" i="35"/>
  <c r="E6" i="35"/>
  <c r="E12" i="35"/>
  <c r="B4" i="35"/>
  <c r="F6" i="35"/>
  <c r="B10" i="35"/>
  <c r="F12" i="35"/>
  <c r="C4" i="35"/>
  <c r="G6" i="35"/>
  <c r="C10" i="35"/>
  <c r="G12" i="35"/>
  <c r="D4" i="35"/>
  <c r="H6" i="35"/>
  <c r="D10" i="35"/>
  <c r="H12" i="35"/>
  <c r="E4" i="35"/>
  <c r="B3" i="35"/>
  <c r="F4" i="35"/>
  <c r="B8" i="35"/>
  <c r="F10" i="35"/>
  <c r="B14" i="35"/>
  <c r="C3" i="35"/>
  <c r="G4" i="35"/>
  <c r="C8" i="35"/>
  <c r="G10" i="35"/>
  <c r="C14" i="35"/>
  <c r="D3" i="35"/>
  <c r="D8" i="35"/>
  <c r="D14" i="35"/>
  <c r="E8" i="35"/>
  <c r="E14" i="35"/>
  <c r="E3" i="35"/>
  <c r="F3" i="35"/>
  <c r="B6" i="35"/>
  <c r="F8" i="35"/>
  <c r="B12" i="35"/>
  <c r="F14" i="35"/>
  <c r="G3" i="35"/>
  <c r="C6" i="35"/>
  <c r="G8" i="35"/>
  <c r="C12" i="35"/>
  <c r="G14" i="35"/>
  <c r="E6" i="33"/>
  <c r="E12" i="33"/>
  <c r="B4" i="33"/>
  <c r="F6" i="33"/>
  <c r="B10" i="33"/>
  <c r="F12" i="33"/>
  <c r="C4" i="33"/>
  <c r="G6" i="33"/>
  <c r="C10" i="33"/>
  <c r="G12" i="33"/>
  <c r="D4" i="33"/>
  <c r="H6" i="33"/>
  <c r="D10" i="33"/>
  <c r="H12" i="33"/>
  <c r="B3" i="33"/>
  <c r="F4" i="33"/>
  <c r="B8" i="33"/>
  <c r="F10" i="33"/>
  <c r="B14" i="33"/>
  <c r="C3" i="33"/>
  <c r="G4" i="33"/>
  <c r="C8" i="33"/>
  <c r="G10" i="33"/>
  <c r="C14" i="33"/>
  <c r="E4" i="33"/>
  <c r="D3" i="33"/>
  <c r="D8" i="33"/>
  <c r="H10" i="33"/>
  <c r="D14" i="33"/>
  <c r="E3" i="33"/>
  <c r="E14" i="33"/>
  <c r="F3" i="33"/>
  <c r="B6" i="33"/>
  <c r="F8" i="33"/>
  <c r="B12" i="33"/>
  <c r="F14" i="33"/>
  <c r="G3" i="33"/>
  <c r="C6" i="33"/>
  <c r="G8" i="33"/>
  <c r="C12" i="33"/>
  <c r="G14" i="33"/>
  <c r="E8" i="33"/>
  <c r="E12" i="32"/>
  <c r="E3" i="32"/>
  <c r="C4" i="32"/>
  <c r="G6" i="32"/>
  <c r="C10" i="32"/>
  <c r="G12" i="32"/>
  <c r="D4" i="32"/>
  <c r="H6" i="32"/>
  <c r="D10" i="32"/>
  <c r="H12" i="32"/>
  <c r="B4" i="32"/>
  <c r="F6" i="32"/>
  <c r="B10" i="32"/>
  <c r="F12" i="32"/>
  <c r="E4" i="32"/>
  <c r="E6" i="32"/>
  <c r="E10" i="32"/>
  <c r="C14" i="32"/>
  <c r="B3" i="32"/>
  <c r="F4" i="32"/>
  <c r="B8" i="32"/>
  <c r="F10" i="32"/>
  <c r="B14" i="32"/>
  <c r="C3" i="32"/>
  <c r="G4" i="32"/>
  <c r="C8" i="32"/>
  <c r="G10" i="32"/>
  <c r="D3" i="32"/>
  <c r="D8" i="32"/>
  <c r="D14" i="32"/>
  <c r="E14" i="32"/>
  <c r="F3" i="32"/>
  <c r="B6" i="32"/>
  <c r="F8" i="32"/>
  <c r="B12" i="32"/>
  <c r="F14" i="32"/>
  <c r="G3" i="32"/>
  <c r="C6" i="32"/>
  <c r="G8" i="32"/>
  <c r="C12" i="32"/>
  <c r="G14" i="32"/>
  <c r="E8" i="32"/>
  <c r="E12" i="31"/>
  <c r="H12" i="31"/>
  <c r="E4" i="31"/>
  <c r="B14" i="31"/>
  <c r="E10" i="31"/>
  <c r="F4" i="31"/>
  <c r="F10" i="31"/>
  <c r="C3" i="31"/>
  <c r="G4" i="31"/>
  <c r="C8" i="31"/>
  <c r="G10" i="31"/>
  <c r="C14" i="31"/>
  <c r="B3" i="31"/>
  <c r="B8" i="31"/>
  <c r="D3" i="31"/>
  <c r="H4" i="31"/>
  <c r="D8" i="31"/>
  <c r="H10" i="31"/>
  <c r="D14" i="31"/>
  <c r="B4" i="31"/>
  <c r="B10" i="31"/>
  <c r="G6" i="31"/>
  <c r="G12" i="31"/>
  <c r="D4" i="31"/>
  <c r="E3" i="31"/>
  <c r="F14" i="31"/>
  <c r="E6" i="31"/>
  <c r="F6" i="31"/>
  <c r="F12" i="31"/>
  <c r="C10" i="31"/>
  <c r="H6" i="31"/>
  <c r="G14" i="31"/>
  <c r="E8" i="31"/>
  <c r="E14" i="31"/>
  <c r="F3" i="31"/>
  <c r="B6" i="31"/>
  <c r="F8" i="31"/>
  <c r="B12" i="31"/>
  <c r="G3" i="31"/>
  <c r="C6" i="31"/>
  <c r="G8" i="31"/>
  <c r="C12" i="31"/>
  <c r="B14" i="28" a="1"/>
  <c r="H14" i="28" s="1"/>
  <c r="B12" i="28" a="1"/>
  <c r="D12" i="28" s="1"/>
  <c r="B10" i="28" a="1"/>
  <c r="H10" i="28" s="1"/>
  <c r="B8" i="28" a="1"/>
  <c r="H8" i="28" s="1"/>
  <c r="B6" i="28" a="1"/>
  <c r="D6" i="28" s="1"/>
  <c r="B4" i="28" a="1"/>
  <c r="H4" i="28" s="1"/>
  <c r="B3" i="28" a="1"/>
  <c r="H3" i="28" s="1"/>
  <c r="B14" i="27" a="1"/>
  <c r="H14" i="27" s="1"/>
  <c r="B12" i="27" a="1"/>
  <c r="D12" i="27" s="1"/>
  <c r="B10" i="27" a="1"/>
  <c r="H10" i="27" s="1"/>
  <c r="B8" i="27" a="1"/>
  <c r="H8" i="27" s="1"/>
  <c r="B6" i="27" a="1"/>
  <c r="D6" i="27" s="1"/>
  <c r="B4" i="27" a="1"/>
  <c r="H4" i="27" s="1"/>
  <c r="B3" i="27" a="1"/>
  <c r="H3" i="27" s="1"/>
  <c r="B14" i="26" a="1"/>
  <c r="H14" i="26" s="1"/>
  <c r="B12" i="26" a="1"/>
  <c r="D12" i="26" s="1"/>
  <c r="B10" i="26" a="1"/>
  <c r="H10" i="26" s="1"/>
  <c r="B8" i="26" a="1"/>
  <c r="H8" i="26" s="1"/>
  <c r="B6" i="26" a="1"/>
  <c r="D6" i="26" s="1"/>
  <c r="B4" i="26" a="1"/>
  <c r="H4" i="26" s="1"/>
  <c r="B3" i="26" a="1"/>
  <c r="H3" i="26" s="1"/>
  <c r="B14" i="25" a="1"/>
  <c r="H14" i="25" s="1"/>
  <c r="B12" i="25" a="1"/>
  <c r="D12" i="25" s="1"/>
  <c r="B10" i="25" a="1"/>
  <c r="H10" i="25" s="1"/>
  <c r="B8" i="25" a="1"/>
  <c r="H8" i="25" s="1"/>
  <c r="B6" i="25" a="1"/>
  <c r="D6" i="25" s="1"/>
  <c r="B4" i="25" a="1"/>
  <c r="H4" i="25" s="1"/>
  <c r="B3" i="25" a="1"/>
  <c r="H3" i="25" s="1"/>
  <c r="B14" i="24" a="1"/>
  <c r="H14" i="24" s="1"/>
  <c r="B12" i="24" a="1"/>
  <c r="D12" i="24" s="1"/>
  <c r="B10" i="24" a="1"/>
  <c r="H10" i="24" s="1"/>
  <c r="B8" i="24" a="1"/>
  <c r="H8" i="24" s="1"/>
  <c r="B6" i="24" a="1"/>
  <c r="D6" i="24" s="1"/>
  <c r="B4" i="24" a="1"/>
  <c r="H4" i="24" s="1"/>
  <c r="B3" i="24" a="1"/>
  <c r="H3" i="24" s="1"/>
  <c r="B14" i="23" a="1"/>
  <c r="H14" i="23" s="1"/>
  <c r="B12" i="23" a="1"/>
  <c r="D12" i="23" s="1"/>
  <c r="B10" i="23" a="1"/>
  <c r="B10" i="23" s="1"/>
  <c r="B8" i="23" a="1"/>
  <c r="H8" i="23" s="1"/>
  <c r="B6" i="23" a="1"/>
  <c r="D6" i="23" s="1"/>
  <c r="B4" i="23" a="1"/>
  <c r="B4" i="23" s="1"/>
  <c r="B3" i="23" a="1"/>
  <c r="H3" i="23" s="1"/>
  <c r="B14" i="22" a="1"/>
  <c r="H14" i="22" s="1"/>
  <c r="B12" i="22" a="1"/>
  <c r="D12" i="22" s="1"/>
  <c r="B10" i="22" a="1"/>
  <c r="H10" i="22" s="1"/>
  <c r="B8" i="22" a="1"/>
  <c r="H8" i="22" s="1"/>
  <c r="B6" i="22" a="1"/>
  <c r="D6" i="22" s="1"/>
  <c r="B4" i="22" a="1"/>
  <c r="H4" i="22" s="1"/>
  <c r="B3" i="22" a="1"/>
  <c r="H3" i="22" s="1"/>
  <c r="B14" i="21" a="1"/>
  <c r="H14" i="21" s="1"/>
  <c r="B12" i="21" a="1"/>
  <c r="D12" i="21" s="1"/>
  <c r="B10" i="21" a="1"/>
  <c r="H10" i="21" s="1"/>
  <c r="B8" i="21" a="1"/>
  <c r="H8" i="21" s="1"/>
  <c r="B6" i="21" a="1"/>
  <c r="D6" i="21" s="1"/>
  <c r="B4" i="21" a="1"/>
  <c r="H4" i="21" s="1"/>
  <c r="B3" i="21" a="1"/>
  <c r="H3" i="21" s="1"/>
  <c r="B14" i="20" a="1"/>
  <c r="H14" i="20" s="1"/>
  <c r="B12" i="20" a="1"/>
  <c r="D12" i="20" s="1"/>
  <c r="B10" i="20" a="1"/>
  <c r="H10" i="20" s="1"/>
  <c r="B8" i="20" a="1"/>
  <c r="H8" i="20" s="1"/>
  <c r="B6" i="20" a="1"/>
  <c r="D6" i="20" s="1"/>
  <c r="B4" i="20" a="1"/>
  <c r="H4" i="20" s="1"/>
  <c r="B3" i="20" a="1"/>
  <c r="H3" i="20" s="1"/>
  <c r="B14" i="19" a="1"/>
  <c r="H14" i="19" s="1"/>
  <c r="B12" i="19" a="1"/>
  <c r="D12" i="19" s="1"/>
  <c r="B10" i="19" a="1"/>
  <c r="H10" i="19" s="1"/>
  <c r="B8" i="19" a="1"/>
  <c r="H8" i="19" s="1"/>
  <c r="B6" i="19" a="1"/>
  <c r="D6" i="19" s="1"/>
  <c r="B4" i="19" a="1"/>
  <c r="H4" i="19" s="1"/>
  <c r="B3" i="19" a="1"/>
  <c r="H3" i="19" s="1"/>
  <c r="B14" i="18" a="1"/>
  <c r="H14" i="18" s="1"/>
  <c r="B12" i="18" a="1"/>
  <c r="D12" i="18" s="1"/>
  <c r="B10" i="18" a="1"/>
  <c r="H10" i="18" s="1"/>
  <c r="B8" i="18" a="1"/>
  <c r="H8" i="18" s="1"/>
  <c r="B6" i="18" a="1"/>
  <c r="D6" i="18" s="1"/>
  <c r="B4" i="18" a="1"/>
  <c r="H4" i="18" s="1"/>
  <c r="B3" i="18" a="1"/>
  <c r="H3" i="18" s="1"/>
  <c r="B14" i="17" a="1"/>
  <c r="H14" i="17" s="1"/>
  <c r="B12" i="17" a="1"/>
  <c r="C12" i="17" s="1"/>
  <c r="B10" i="17" a="1"/>
  <c r="H10" i="17" s="1"/>
  <c r="B8" i="17" a="1"/>
  <c r="G8" i="17" s="1"/>
  <c r="B6" i="17" a="1"/>
  <c r="C6" i="17" s="1"/>
  <c r="B4" i="17" a="1"/>
  <c r="H4" i="17" s="1"/>
  <c r="B3" i="17" a="1"/>
  <c r="G3" i="17" s="1"/>
  <c r="E12" i="28" l="1"/>
  <c r="E6" i="28"/>
  <c r="B4" i="28"/>
  <c r="F6" i="28"/>
  <c r="B10" i="28"/>
  <c r="F12" i="28"/>
  <c r="C4" i="28"/>
  <c r="G6" i="28"/>
  <c r="C10" i="28"/>
  <c r="G12" i="28"/>
  <c r="D4" i="28"/>
  <c r="H6" i="28"/>
  <c r="D10" i="28"/>
  <c r="H12" i="28"/>
  <c r="E4" i="28"/>
  <c r="E10" i="28"/>
  <c r="B3" i="28"/>
  <c r="F4" i="28"/>
  <c r="B8" i="28"/>
  <c r="F10" i="28"/>
  <c r="B14" i="28"/>
  <c r="C3" i="28"/>
  <c r="G4" i="28"/>
  <c r="C8" i="28"/>
  <c r="G10" i="28"/>
  <c r="C14" i="28"/>
  <c r="D3" i="28"/>
  <c r="D8" i="28"/>
  <c r="D14" i="28"/>
  <c r="E3" i="28"/>
  <c r="E8" i="28"/>
  <c r="E14" i="28"/>
  <c r="F3" i="28"/>
  <c r="B6" i="28"/>
  <c r="F8" i="28"/>
  <c r="B12" i="28"/>
  <c r="F14" i="28"/>
  <c r="G3" i="28"/>
  <c r="C6" i="28"/>
  <c r="G8" i="28"/>
  <c r="C12" i="28"/>
  <c r="G14" i="28"/>
  <c r="E12" i="27"/>
  <c r="E6" i="27"/>
  <c r="B4" i="27"/>
  <c r="F6" i="27"/>
  <c r="B10" i="27"/>
  <c r="F12" i="27"/>
  <c r="C4" i="27"/>
  <c r="G6" i="27"/>
  <c r="C10" i="27"/>
  <c r="G12" i="27"/>
  <c r="D4" i="27"/>
  <c r="H6" i="27"/>
  <c r="D10" i="27"/>
  <c r="H12" i="27"/>
  <c r="E4" i="27"/>
  <c r="E10" i="27"/>
  <c r="B3" i="27"/>
  <c r="F4" i="27"/>
  <c r="B8" i="27"/>
  <c r="F10" i="27"/>
  <c r="B14" i="27"/>
  <c r="C3" i="27"/>
  <c r="G4" i="27"/>
  <c r="C8" i="27"/>
  <c r="G10" i="27"/>
  <c r="C14" i="27"/>
  <c r="D3" i="27"/>
  <c r="D8" i="27"/>
  <c r="D14" i="27"/>
  <c r="E3" i="27"/>
  <c r="E8" i="27"/>
  <c r="E14" i="27"/>
  <c r="F3" i="27"/>
  <c r="B6" i="27"/>
  <c r="F8" i="27"/>
  <c r="B12" i="27"/>
  <c r="F14" i="27"/>
  <c r="G3" i="27"/>
  <c r="C6" i="27"/>
  <c r="G8" i="27"/>
  <c r="C12" i="27"/>
  <c r="G14" i="27"/>
  <c r="E6" i="26"/>
  <c r="E12" i="26"/>
  <c r="G12" i="26"/>
  <c r="B4" i="26"/>
  <c r="F6" i="26"/>
  <c r="B10" i="26"/>
  <c r="F12" i="26"/>
  <c r="C4" i="26"/>
  <c r="G6" i="26"/>
  <c r="C10" i="26"/>
  <c r="D4" i="26"/>
  <c r="H6" i="26"/>
  <c r="D10" i="26"/>
  <c r="H12" i="26"/>
  <c r="E4" i="26"/>
  <c r="E10" i="26"/>
  <c r="B3" i="26"/>
  <c r="F4" i="26"/>
  <c r="B8" i="26"/>
  <c r="F10" i="26"/>
  <c r="B14" i="26"/>
  <c r="C3" i="26"/>
  <c r="G4" i="26"/>
  <c r="C8" i="26"/>
  <c r="G10" i="26"/>
  <c r="C14" i="26"/>
  <c r="D3" i="26"/>
  <c r="D8" i="26"/>
  <c r="D14" i="26"/>
  <c r="E3" i="26"/>
  <c r="E8" i="26"/>
  <c r="E14" i="26"/>
  <c r="E3" i="25"/>
  <c r="F3" i="26"/>
  <c r="B6" i="26"/>
  <c r="F8" i="26"/>
  <c r="B12" i="26"/>
  <c r="F14" i="26"/>
  <c r="G3" i="26"/>
  <c r="C6" i="26"/>
  <c r="G8" i="26"/>
  <c r="C12" i="26"/>
  <c r="G14" i="26"/>
  <c r="E12" i="25"/>
  <c r="E6" i="25"/>
  <c r="B4" i="25"/>
  <c r="F6" i="25"/>
  <c r="B10" i="25"/>
  <c r="F12" i="25"/>
  <c r="C4" i="25"/>
  <c r="G6" i="25"/>
  <c r="C10" i="25"/>
  <c r="G12" i="25"/>
  <c r="D4" i="25"/>
  <c r="H6" i="25"/>
  <c r="D10" i="25"/>
  <c r="H12" i="25"/>
  <c r="E4" i="25"/>
  <c r="E10" i="25"/>
  <c r="B3" i="25"/>
  <c r="F4" i="25"/>
  <c r="B8" i="25"/>
  <c r="F10" i="25"/>
  <c r="B14" i="25"/>
  <c r="C3" i="25"/>
  <c r="G4" i="25"/>
  <c r="C8" i="25"/>
  <c r="G10" i="25"/>
  <c r="C14" i="25"/>
  <c r="D3" i="25"/>
  <c r="D8" i="25"/>
  <c r="D14" i="25"/>
  <c r="E8" i="25"/>
  <c r="E14" i="25"/>
  <c r="F3" i="25"/>
  <c r="B6" i="25"/>
  <c r="F8" i="25"/>
  <c r="B12" i="25"/>
  <c r="F14" i="25"/>
  <c r="G3" i="25"/>
  <c r="C6" i="25"/>
  <c r="G8" i="25"/>
  <c r="C12" i="25"/>
  <c r="G14" i="25"/>
  <c r="C4" i="24"/>
  <c r="G6" i="24"/>
  <c r="C10" i="24"/>
  <c r="G12" i="24"/>
  <c r="E6" i="24"/>
  <c r="E12" i="24"/>
  <c r="B4" i="24"/>
  <c r="F6" i="24"/>
  <c r="B10" i="24"/>
  <c r="F12" i="24"/>
  <c r="D4" i="24"/>
  <c r="H6" i="24"/>
  <c r="D10" i="24"/>
  <c r="H12" i="24"/>
  <c r="E4" i="24"/>
  <c r="E10" i="24"/>
  <c r="B3" i="24"/>
  <c r="F4" i="24"/>
  <c r="B8" i="24"/>
  <c r="F10" i="24"/>
  <c r="B14" i="24"/>
  <c r="C3" i="24"/>
  <c r="G4" i="24"/>
  <c r="C8" i="24"/>
  <c r="G10" i="24"/>
  <c r="C14" i="24"/>
  <c r="D3" i="24"/>
  <c r="D8" i="24"/>
  <c r="D14" i="24"/>
  <c r="E3" i="24"/>
  <c r="E8" i="24"/>
  <c r="E14" i="24"/>
  <c r="F3" i="24"/>
  <c r="B6" i="24"/>
  <c r="F8" i="24"/>
  <c r="B12" i="24"/>
  <c r="F14" i="24"/>
  <c r="G3" i="24"/>
  <c r="C6" i="24"/>
  <c r="G8" i="24"/>
  <c r="C12" i="24"/>
  <c r="G14" i="24"/>
  <c r="E6" i="23"/>
  <c r="F6" i="23"/>
  <c r="E12" i="23"/>
  <c r="F12" i="23"/>
  <c r="C4" i="23"/>
  <c r="G6" i="23"/>
  <c r="C10" i="23"/>
  <c r="G12" i="23"/>
  <c r="D4" i="23"/>
  <c r="H6" i="23"/>
  <c r="D10" i="23"/>
  <c r="H12" i="23"/>
  <c r="E10" i="23"/>
  <c r="B3" i="23"/>
  <c r="F4" i="23"/>
  <c r="B8" i="23"/>
  <c r="F10" i="23"/>
  <c r="B14" i="23"/>
  <c r="C3" i="23"/>
  <c r="G4" i="23"/>
  <c r="C8" i="23"/>
  <c r="G10" i="23"/>
  <c r="C14" i="23"/>
  <c r="E4" i="23"/>
  <c r="D3" i="23"/>
  <c r="H4" i="23"/>
  <c r="D8" i="23"/>
  <c r="H10" i="23"/>
  <c r="D14" i="23"/>
  <c r="E3" i="23"/>
  <c r="E8" i="23"/>
  <c r="E14" i="23"/>
  <c r="F3" i="23"/>
  <c r="B6" i="23"/>
  <c r="F8" i="23"/>
  <c r="B12" i="23"/>
  <c r="F14" i="23"/>
  <c r="G3" i="23"/>
  <c r="C6" i="23"/>
  <c r="G8" i="23"/>
  <c r="C12" i="23"/>
  <c r="G14" i="23"/>
  <c r="E6" i="22"/>
  <c r="E12" i="22"/>
  <c r="B4" i="22"/>
  <c r="F6" i="22"/>
  <c r="B10" i="22"/>
  <c r="F12" i="22"/>
  <c r="C4" i="22"/>
  <c r="G6" i="22"/>
  <c r="C10" i="22"/>
  <c r="G12" i="22"/>
  <c r="D4" i="22"/>
  <c r="H6" i="22"/>
  <c r="D10" i="22"/>
  <c r="H12" i="22"/>
  <c r="E4" i="22"/>
  <c r="E10" i="22"/>
  <c r="B3" i="22"/>
  <c r="F4" i="22"/>
  <c r="B8" i="22"/>
  <c r="F10" i="22"/>
  <c r="B14" i="22"/>
  <c r="C3" i="22"/>
  <c r="G4" i="22"/>
  <c r="C8" i="22"/>
  <c r="G10" i="22"/>
  <c r="C14" i="22"/>
  <c r="D3" i="22"/>
  <c r="D8" i="22"/>
  <c r="D14" i="22"/>
  <c r="E3" i="22"/>
  <c r="E8" i="22"/>
  <c r="E14" i="22"/>
  <c r="F3" i="22"/>
  <c r="B6" i="22"/>
  <c r="F8" i="22"/>
  <c r="B12" i="22"/>
  <c r="F14" i="22"/>
  <c r="G3" i="22"/>
  <c r="C6" i="22"/>
  <c r="G8" i="22"/>
  <c r="C12" i="22"/>
  <c r="G14" i="22"/>
  <c r="E12" i="21"/>
  <c r="F12" i="21"/>
  <c r="E6" i="21"/>
  <c r="F6" i="21"/>
  <c r="C4" i="21"/>
  <c r="G6" i="21"/>
  <c r="C10" i="21"/>
  <c r="G12" i="21"/>
  <c r="B10" i="21"/>
  <c r="D4" i="21"/>
  <c r="H6" i="21"/>
  <c r="D10" i="21"/>
  <c r="H12" i="21"/>
  <c r="E10" i="21"/>
  <c r="B4" i="21"/>
  <c r="B3" i="21"/>
  <c r="F4" i="21"/>
  <c r="B8" i="21"/>
  <c r="F10" i="21"/>
  <c r="B14" i="21"/>
  <c r="E4" i="21"/>
  <c r="C3" i="21"/>
  <c r="G4" i="21"/>
  <c r="C8" i="21"/>
  <c r="G10" i="21"/>
  <c r="C14" i="21"/>
  <c r="D3" i="21"/>
  <c r="D8" i="21"/>
  <c r="D14" i="21"/>
  <c r="E8" i="21"/>
  <c r="E14" i="21"/>
  <c r="E3" i="21"/>
  <c r="E3" i="20"/>
  <c r="F3" i="21"/>
  <c r="B6" i="21"/>
  <c r="F8" i="21"/>
  <c r="B12" i="21"/>
  <c r="F14" i="21"/>
  <c r="G3" i="21"/>
  <c r="C6" i="21"/>
  <c r="G8" i="21"/>
  <c r="C12" i="21"/>
  <c r="G14" i="21"/>
  <c r="E10" i="20"/>
  <c r="E6" i="20"/>
  <c r="E12" i="20"/>
  <c r="B4" i="20"/>
  <c r="F6" i="20"/>
  <c r="B10" i="20"/>
  <c r="F12" i="20"/>
  <c r="C4" i="20"/>
  <c r="G6" i="20"/>
  <c r="C10" i="20"/>
  <c r="G12" i="20"/>
  <c r="D4" i="20"/>
  <c r="H6" i="20"/>
  <c r="D10" i="20"/>
  <c r="H12" i="20"/>
  <c r="B3" i="20"/>
  <c r="F4" i="20"/>
  <c r="B8" i="20"/>
  <c r="F10" i="20"/>
  <c r="B14" i="20"/>
  <c r="C3" i="20"/>
  <c r="G4" i="20"/>
  <c r="C8" i="20"/>
  <c r="G10" i="20"/>
  <c r="C14" i="20"/>
  <c r="E4" i="20"/>
  <c r="D3" i="20"/>
  <c r="D8" i="20"/>
  <c r="D14" i="20"/>
  <c r="E14" i="20"/>
  <c r="E8" i="20"/>
  <c r="F3" i="20"/>
  <c r="B6" i="20"/>
  <c r="F8" i="20"/>
  <c r="B12" i="20"/>
  <c r="F14" i="20"/>
  <c r="G3" i="20"/>
  <c r="C6" i="20"/>
  <c r="G8" i="20"/>
  <c r="C12" i="20"/>
  <c r="G14" i="20"/>
  <c r="E12" i="19"/>
  <c r="E6" i="19"/>
  <c r="B4" i="19"/>
  <c r="F6" i="19"/>
  <c r="B10" i="19"/>
  <c r="F12" i="19"/>
  <c r="C4" i="19"/>
  <c r="G6" i="19"/>
  <c r="C10" i="19"/>
  <c r="G12" i="19"/>
  <c r="D4" i="19"/>
  <c r="H6" i="19"/>
  <c r="D10" i="19"/>
  <c r="H12" i="19"/>
  <c r="B3" i="19"/>
  <c r="F4" i="19"/>
  <c r="B8" i="19"/>
  <c r="F10" i="19"/>
  <c r="B14" i="19"/>
  <c r="C3" i="19"/>
  <c r="G4" i="19"/>
  <c r="C8" i="19"/>
  <c r="G10" i="19"/>
  <c r="C14" i="19"/>
  <c r="E4" i="19"/>
  <c r="E10" i="19"/>
  <c r="D3" i="19"/>
  <c r="D8" i="19"/>
  <c r="D14" i="19"/>
  <c r="E14" i="19"/>
  <c r="E8" i="19"/>
  <c r="E3" i="18"/>
  <c r="F3" i="19"/>
  <c r="B6" i="19"/>
  <c r="F8" i="19"/>
  <c r="B12" i="19"/>
  <c r="F14" i="19"/>
  <c r="G3" i="19"/>
  <c r="C6" i="19"/>
  <c r="G8" i="19"/>
  <c r="C12" i="19"/>
  <c r="G14" i="19"/>
  <c r="E3" i="19"/>
  <c r="E6" i="18"/>
  <c r="B4" i="18"/>
  <c r="F6" i="18"/>
  <c r="B10" i="18"/>
  <c r="F12" i="18"/>
  <c r="D4" i="18"/>
  <c r="H6" i="18"/>
  <c r="D10" i="18"/>
  <c r="H12" i="18"/>
  <c r="C4" i="18"/>
  <c r="G6" i="18"/>
  <c r="C10" i="18"/>
  <c r="G12" i="18"/>
  <c r="E10" i="18"/>
  <c r="B3" i="18"/>
  <c r="B8" i="18"/>
  <c r="F10" i="18"/>
  <c r="B14" i="18"/>
  <c r="E12" i="18"/>
  <c r="E4" i="18"/>
  <c r="F4" i="18"/>
  <c r="C3" i="18"/>
  <c r="G4" i="18"/>
  <c r="C8" i="18"/>
  <c r="G10" i="18"/>
  <c r="C14" i="18"/>
  <c r="D3" i="18"/>
  <c r="D8" i="18"/>
  <c r="D14" i="18"/>
  <c r="E14" i="18"/>
  <c r="E8" i="18"/>
  <c r="F3" i="18"/>
  <c r="B6" i="18"/>
  <c r="F8" i="18"/>
  <c r="B12" i="18"/>
  <c r="F14" i="18"/>
  <c r="G3" i="18"/>
  <c r="C6" i="18"/>
  <c r="G8" i="18"/>
  <c r="C12" i="18"/>
  <c r="G14" i="18"/>
  <c r="H3" i="17"/>
  <c r="D6" i="17"/>
  <c r="H8" i="17"/>
  <c r="D12" i="17"/>
  <c r="E6" i="17"/>
  <c r="E4" i="17"/>
  <c r="E12" i="17"/>
  <c r="B4" i="17"/>
  <c r="F6" i="17"/>
  <c r="B10" i="17"/>
  <c r="F12" i="17"/>
  <c r="C4" i="17"/>
  <c r="G6" i="17"/>
  <c r="C10" i="17"/>
  <c r="G12" i="17"/>
  <c r="D4" i="17"/>
  <c r="H6" i="17"/>
  <c r="D10" i="17"/>
  <c r="H12" i="17"/>
  <c r="B3" i="17"/>
  <c r="B14" i="17"/>
  <c r="C3" i="17"/>
  <c r="G4" i="17"/>
  <c r="C8" i="17"/>
  <c r="G10" i="17"/>
  <c r="C14" i="17"/>
  <c r="E10" i="17"/>
  <c r="F4" i="17"/>
  <c r="B8" i="17"/>
  <c r="F10" i="17"/>
  <c r="D3" i="17"/>
  <c r="D8" i="17"/>
  <c r="D14" i="17"/>
  <c r="E3" i="17"/>
  <c r="E14" i="17"/>
  <c r="F3" i="17"/>
  <c r="B6" i="17"/>
  <c r="F8" i="17"/>
  <c r="B12" i="17"/>
  <c r="F14" i="17"/>
  <c r="E8" i="17"/>
  <c r="G14" i="17"/>
  <c r="B14" i="16" a="1"/>
  <c r="H14" i="16" s="1"/>
  <c r="B12" i="16" a="1"/>
  <c r="D12" i="16" s="1"/>
  <c r="B10" i="16" a="1"/>
  <c r="H10" i="16" s="1"/>
  <c r="B8" i="16" a="1"/>
  <c r="H8" i="16" s="1"/>
  <c r="B6" i="16" a="1"/>
  <c r="D6" i="16" s="1"/>
  <c r="B4" i="16" a="1"/>
  <c r="H4" i="16" s="1"/>
  <c r="B3" i="16" a="1"/>
  <c r="H3" i="16" s="1"/>
  <c r="B14" i="15" a="1"/>
  <c r="H14" i="15" s="1"/>
  <c r="B12" i="15" a="1"/>
  <c r="D12" i="15" s="1"/>
  <c r="B10" i="15" a="1"/>
  <c r="H10" i="15" s="1"/>
  <c r="B8" i="15" a="1"/>
  <c r="H8" i="15" s="1"/>
  <c r="B6" i="15" a="1"/>
  <c r="D6" i="15" s="1"/>
  <c r="B4" i="15" a="1"/>
  <c r="H4" i="15" s="1"/>
  <c r="B3" i="15" a="1"/>
  <c r="H3" i="15" s="1"/>
  <c r="B14" i="14" a="1"/>
  <c r="H14" i="14" s="1"/>
  <c r="B12" i="14" a="1"/>
  <c r="D12" i="14" s="1"/>
  <c r="B10" i="14" a="1"/>
  <c r="H10" i="14" s="1"/>
  <c r="B8" i="14" a="1"/>
  <c r="H8" i="14" s="1"/>
  <c r="B6" i="14" a="1"/>
  <c r="D6" i="14" s="1"/>
  <c r="B4" i="14" a="1"/>
  <c r="H4" i="14" s="1"/>
  <c r="B3" i="14" a="1"/>
  <c r="H3" i="14" s="1"/>
  <c r="B14" i="13" a="1"/>
  <c r="H14" i="13" s="1"/>
  <c r="B12" i="13" a="1"/>
  <c r="D12" i="13" s="1"/>
  <c r="B10" i="13" a="1"/>
  <c r="H10" i="13" s="1"/>
  <c r="B8" i="13" a="1"/>
  <c r="H8" i="13" s="1"/>
  <c r="B6" i="13" a="1"/>
  <c r="D6" i="13" s="1"/>
  <c r="B4" i="13" a="1"/>
  <c r="H4" i="13" s="1"/>
  <c r="B3" i="13" a="1"/>
  <c r="H3" i="13" s="1"/>
  <c r="B14" i="12" a="1"/>
  <c r="H14" i="12" s="1"/>
  <c r="B12" i="12" a="1"/>
  <c r="D12" i="12" s="1"/>
  <c r="B10" i="12" a="1"/>
  <c r="H10" i="12" s="1"/>
  <c r="B8" i="12" a="1"/>
  <c r="H8" i="12" s="1"/>
  <c r="B6" i="12" a="1"/>
  <c r="D6" i="12" s="1"/>
  <c r="B4" i="12" a="1"/>
  <c r="H4" i="12" s="1"/>
  <c r="B3" i="12" a="1"/>
  <c r="H3" i="12" s="1"/>
  <c r="B14" i="11" a="1"/>
  <c r="H14" i="11" s="1"/>
  <c r="B12" i="11" a="1"/>
  <c r="D12" i="11" s="1"/>
  <c r="B10" i="11" a="1"/>
  <c r="H10" i="11" s="1"/>
  <c r="B8" i="11" a="1"/>
  <c r="H8" i="11" s="1"/>
  <c r="B6" i="11" a="1"/>
  <c r="D6" i="11" s="1"/>
  <c r="B4" i="11" a="1"/>
  <c r="H4" i="11" s="1"/>
  <c r="B3" i="11" a="1"/>
  <c r="H3" i="11" s="1"/>
  <c r="B14" i="10" a="1"/>
  <c r="H14" i="10" s="1"/>
  <c r="B12" i="10" a="1"/>
  <c r="D12" i="10" s="1"/>
  <c r="B10" i="10" a="1"/>
  <c r="H10" i="10" s="1"/>
  <c r="B8" i="10" a="1"/>
  <c r="H8" i="10" s="1"/>
  <c r="B6" i="10" a="1"/>
  <c r="D6" i="10" s="1"/>
  <c r="B4" i="10" a="1"/>
  <c r="H4" i="10" s="1"/>
  <c r="B3" i="10" a="1"/>
  <c r="H3" i="10" s="1"/>
  <c r="B14" i="9" a="1"/>
  <c r="H14" i="9" s="1"/>
  <c r="B12" i="9" a="1"/>
  <c r="D12" i="9" s="1"/>
  <c r="B10" i="9" a="1"/>
  <c r="H10" i="9" s="1"/>
  <c r="B8" i="9" a="1"/>
  <c r="H8" i="9" s="1"/>
  <c r="B6" i="9" a="1"/>
  <c r="D6" i="9" s="1"/>
  <c r="B4" i="9" a="1"/>
  <c r="E4" i="9" s="1"/>
  <c r="B3" i="9" a="1"/>
  <c r="H3" i="9" s="1"/>
  <c r="B14" i="8" a="1"/>
  <c r="H14" i="8" s="1"/>
  <c r="B12" i="8" a="1"/>
  <c r="D12" i="8" s="1"/>
  <c r="B10" i="8" a="1"/>
  <c r="H10" i="8" s="1"/>
  <c r="B8" i="8" a="1"/>
  <c r="H8" i="8" s="1"/>
  <c r="B6" i="8" a="1"/>
  <c r="D6" i="8" s="1"/>
  <c r="B4" i="8" a="1"/>
  <c r="B4" i="8" s="1"/>
  <c r="B3" i="8" a="1"/>
  <c r="H3" i="8" s="1"/>
  <c r="B14" i="7" a="1"/>
  <c r="H14" i="7" s="1"/>
  <c r="B12" i="7" a="1"/>
  <c r="D12" i="7" s="1"/>
  <c r="B10" i="7" a="1"/>
  <c r="H10" i="7" s="1"/>
  <c r="B8" i="7" a="1"/>
  <c r="H8" i="7" s="1"/>
  <c r="B6" i="7" a="1"/>
  <c r="D6" i="7" s="1"/>
  <c r="B4" i="7" a="1"/>
  <c r="H4" i="7" s="1"/>
  <c r="B3" i="7" a="1"/>
  <c r="H3" i="7" s="1"/>
  <c r="B14" i="6" a="1"/>
  <c r="H14" i="6" s="1"/>
  <c r="B12" i="6" a="1"/>
  <c r="D12" i="6" s="1"/>
  <c r="B10" i="6" a="1"/>
  <c r="H10" i="6" s="1"/>
  <c r="B8" i="6" a="1"/>
  <c r="H8" i="6" s="1"/>
  <c r="B6" i="6" a="1"/>
  <c r="D6" i="6" s="1"/>
  <c r="B4" i="6" a="1"/>
  <c r="H4" i="6" s="1"/>
  <c r="B3" i="6" a="1"/>
  <c r="H3" i="6" s="1"/>
  <c r="B1" i="5"/>
  <c r="B12" i="5" s="1" a="1"/>
  <c r="B1" i="4"/>
  <c r="B14" i="4" s="1" a="1"/>
  <c r="E6" i="16" l="1"/>
  <c r="F6" i="16"/>
  <c r="E12" i="16"/>
  <c r="F12" i="16"/>
  <c r="B4" i="16"/>
  <c r="B10" i="16"/>
  <c r="C4" i="16"/>
  <c r="G6" i="16"/>
  <c r="C10" i="16"/>
  <c r="G12" i="16"/>
  <c r="D4" i="16"/>
  <c r="H6" i="16"/>
  <c r="D10" i="16"/>
  <c r="H12" i="16"/>
  <c r="E4" i="16"/>
  <c r="E10" i="16"/>
  <c r="B3" i="16"/>
  <c r="F4" i="16"/>
  <c r="B8" i="16"/>
  <c r="F10" i="16"/>
  <c r="B14" i="16"/>
  <c r="C3" i="16"/>
  <c r="G4" i="16"/>
  <c r="C8" i="16"/>
  <c r="G10" i="16"/>
  <c r="C14" i="16"/>
  <c r="D3" i="16"/>
  <c r="D8" i="16"/>
  <c r="D14" i="16"/>
  <c r="E3" i="16"/>
  <c r="E8" i="16"/>
  <c r="E14" i="16"/>
  <c r="E3" i="15"/>
  <c r="F3" i="16"/>
  <c r="B6" i="16"/>
  <c r="F8" i="16"/>
  <c r="B12" i="16"/>
  <c r="F14" i="16"/>
  <c r="G3" i="16"/>
  <c r="C6" i="16"/>
  <c r="G8" i="16"/>
  <c r="C12" i="16"/>
  <c r="G14" i="16"/>
  <c r="E6" i="15"/>
  <c r="F6" i="15"/>
  <c r="E12" i="15"/>
  <c r="F12" i="15"/>
  <c r="C4" i="15"/>
  <c r="G6" i="15"/>
  <c r="C10" i="15"/>
  <c r="G12" i="15"/>
  <c r="D4" i="15"/>
  <c r="H6" i="15"/>
  <c r="D10" i="15"/>
  <c r="H12" i="15"/>
  <c r="E4" i="15"/>
  <c r="E10" i="15"/>
  <c r="B3" i="15"/>
  <c r="F4" i="15"/>
  <c r="B8" i="15"/>
  <c r="F10" i="15"/>
  <c r="B14" i="15"/>
  <c r="B4" i="15"/>
  <c r="B10" i="15"/>
  <c r="C3" i="15"/>
  <c r="G4" i="15"/>
  <c r="C8" i="15"/>
  <c r="G10" i="15"/>
  <c r="C14" i="15"/>
  <c r="D3" i="15"/>
  <c r="D8" i="15"/>
  <c r="D14" i="15"/>
  <c r="E8" i="15"/>
  <c r="E14" i="15"/>
  <c r="F3" i="15"/>
  <c r="B6" i="15"/>
  <c r="F8" i="15"/>
  <c r="B12" i="15"/>
  <c r="F14" i="15"/>
  <c r="G3" i="15"/>
  <c r="C6" i="15"/>
  <c r="G8" i="15"/>
  <c r="C12" i="15"/>
  <c r="G14" i="15"/>
  <c r="C4" i="14"/>
  <c r="F6" i="14"/>
  <c r="G6" i="14"/>
  <c r="B10" i="14"/>
  <c r="B4" i="14"/>
  <c r="C10" i="14"/>
  <c r="F12" i="14"/>
  <c r="G12" i="14"/>
  <c r="E6" i="14"/>
  <c r="E12" i="14"/>
  <c r="D4" i="14"/>
  <c r="H6" i="14"/>
  <c r="D10" i="14"/>
  <c r="H12" i="14"/>
  <c r="E4" i="14"/>
  <c r="E10" i="14"/>
  <c r="B3" i="14"/>
  <c r="F4" i="14"/>
  <c r="B8" i="14"/>
  <c r="F10" i="14"/>
  <c r="B14" i="14"/>
  <c r="C3" i="14"/>
  <c r="G4" i="14"/>
  <c r="C8" i="14"/>
  <c r="G10" i="14"/>
  <c r="C14" i="14"/>
  <c r="D3" i="14"/>
  <c r="D8" i="14"/>
  <c r="D14" i="14"/>
  <c r="E3" i="14"/>
  <c r="E8" i="14"/>
  <c r="E14" i="14"/>
  <c r="F3" i="14"/>
  <c r="B6" i="14"/>
  <c r="F8" i="14"/>
  <c r="B12" i="14"/>
  <c r="F14" i="14"/>
  <c r="G3" i="14"/>
  <c r="C6" i="14"/>
  <c r="G8" i="14"/>
  <c r="C12" i="14"/>
  <c r="G14" i="14"/>
  <c r="F6" i="13"/>
  <c r="G6" i="13"/>
  <c r="B10" i="13"/>
  <c r="C10" i="13"/>
  <c r="E10" i="13"/>
  <c r="E4" i="13"/>
  <c r="B4" i="13"/>
  <c r="F12" i="13"/>
  <c r="C4" i="13"/>
  <c r="G12" i="13"/>
  <c r="E6" i="13"/>
  <c r="E12" i="13"/>
  <c r="D4" i="13"/>
  <c r="H6" i="13"/>
  <c r="D10" i="13"/>
  <c r="H12" i="13"/>
  <c r="B3" i="13"/>
  <c r="F4" i="13"/>
  <c r="B8" i="13"/>
  <c r="F10" i="13"/>
  <c r="B14" i="13"/>
  <c r="C3" i="13"/>
  <c r="G4" i="13"/>
  <c r="C8" i="13"/>
  <c r="G10" i="13"/>
  <c r="C14" i="13"/>
  <c r="D3" i="13"/>
  <c r="D8" i="13"/>
  <c r="D14" i="13"/>
  <c r="E3" i="13"/>
  <c r="E8" i="13"/>
  <c r="E14" i="13"/>
  <c r="F3" i="13"/>
  <c r="B6" i="13"/>
  <c r="F8" i="13"/>
  <c r="B12" i="13"/>
  <c r="F14" i="13"/>
  <c r="G3" i="13"/>
  <c r="C6" i="13"/>
  <c r="G8" i="13"/>
  <c r="C12" i="13"/>
  <c r="G14" i="13"/>
  <c r="F6" i="12"/>
  <c r="G6" i="12"/>
  <c r="B10" i="12"/>
  <c r="C10" i="12"/>
  <c r="B4" i="12"/>
  <c r="C4" i="12"/>
  <c r="F12" i="12"/>
  <c r="G12" i="12"/>
  <c r="E6" i="12"/>
  <c r="E12" i="12"/>
  <c r="D4" i="12"/>
  <c r="H6" i="12"/>
  <c r="D10" i="12"/>
  <c r="H12" i="12"/>
  <c r="E4" i="12"/>
  <c r="E10" i="12"/>
  <c r="B3" i="12"/>
  <c r="F4" i="12"/>
  <c r="B8" i="12"/>
  <c r="F10" i="12"/>
  <c r="B14" i="12"/>
  <c r="C3" i="12"/>
  <c r="G4" i="12"/>
  <c r="C8" i="12"/>
  <c r="G10" i="12"/>
  <c r="C14" i="12"/>
  <c r="D3" i="12"/>
  <c r="D8" i="12"/>
  <c r="D14" i="12"/>
  <c r="E3" i="12"/>
  <c r="E8" i="12"/>
  <c r="E14" i="12"/>
  <c r="F3" i="12"/>
  <c r="B6" i="12"/>
  <c r="F8" i="12"/>
  <c r="B12" i="12"/>
  <c r="F14" i="12"/>
  <c r="G3" i="12"/>
  <c r="C6" i="12"/>
  <c r="G8" i="12"/>
  <c r="C12" i="12"/>
  <c r="G14" i="12"/>
  <c r="E6" i="11"/>
  <c r="E12" i="11"/>
  <c r="B4" i="11"/>
  <c r="F6" i="11"/>
  <c r="B10" i="11"/>
  <c r="F12" i="11"/>
  <c r="C4" i="11"/>
  <c r="G6" i="11"/>
  <c r="C10" i="11"/>
  <c r="G12" i="11"/>
  <c r="D4" i="11"/>
  <c r="H6" i="11"/>
  <c r="D10" i="11"/>
  <c r="H12" i="11"/>
  <c r="E4" i="11"/>
  <c r="E10" i="11"/>
  <c r="B3" i="11"/>
  <c r="F4" i="11"/>
  <c r="B8" i="11"/>
  <c r="F10" i="11"/>
  <c r="B14" i="11"/>
  <c r="C3" i="11"/>
  <c r="G4" i="11"/>
  <c r="C8" i="11"/>
  <c r="G10" i="11"/>
  <c r="C14" i="11"/>
  <c r="D3" i="11"/>
  <c r="D8" i="11"/>
  <c r="D14" i="11"/>
  <c r="E3" i="11"/>
  <c r="E8" i="11"/>
  <c r="E14" i="11"/>
  <c r="F3" i="11"/>
  <c r="B6" i="11"/>
  <c r="F8" i="11"/>
  <c r="B12" i="11"/>
  <c r="F14" i="11"/>
  <c r="G3" i="11"/>
  <c r="C6" i="11"/>
  <c r="G8" i="11"/>
  <c r="C12" i="11"/>
  <c r="G14" i="11"/>
  <c r="F6" i="10"/>
  <c r="G6" i="10"/>
  <c r="C4" i="10"/>
  <c r="B10" i="10"/>
  <c r="C10" i="10"/>
  <c r="E10" i="10"/>
  <c r="F12" i="10"/>
  <c r="B4" i="10"/>
  <c r="G12" i="10"/>
  <c r="E6" i="10"/>
  <c r="E12" i="10"/>
  <c r="D4" i="10"/>
  <c r="H6" i="10"/>
  <c r="D10" i="10"/>
  <c r="H12" i="10"/>
  <c r="B3" i="10"/>
  <c r="F4" i="10"/>
  <c r="B8" i="10"/>
  <c r="F10" i="10"/>
  <c r="B14" i="10"/>
  <c r="C3" i="10"/>
  <c r="G4" i="10"/>
  <c r="C8" i="10"/>
  <c r="G10" i="10"/>
  <c r="C14" i="10"/>
  <c r="E4" i="10"/>
  <c r="D3" i="10"/>
  <c r="D8" i="10"/>
  <c r="D14" i="10"/>
  <c r="E8" i="10"/>
  <c r="E14" i="10"/>
  <c r="E3" i="10"/>
  <c r="F3" i="10"/>
  <c r="B6" i="10"/>
  <c r="F8" i="10"/>
  <c r="B12" i="10"/>
  <c r="F14" i="10"/>
  <c r="G3" i="10"/>
  <c r="C6" i="10"/>
  <c r="G8" i="10"/>
  <c r="C12" i="10"/>
  <c r="G14" i="10"/>
  <c r="E6" i="9"/>
  <c r="E12" i="9"/>
  <c r="F12" i="9"/>
  <c r="B4" i="9"/>
  <c r="F6" i="9"/>
  <c r="B10" i="9"/>
  <c r="C4" i="9"/>
  <c r="G6" i="9"/>
  <c r="C10" i="9"/>
  <c r="G12" i="9"/>
  <c r="D4" i="9"/>
  <c r="H6" i="9"/>
  <c r="D10" i="9"/>
  <c r="H12" i="9"/>
  <c r="E10" i="9"/>
  <c r="B3" i="9"/>
  <c r="F4" i="9"/>
  <c r="B8" i="9"/>
  <c r="F10" i="9"/>
  <c r="B14" i="9"/>
  <c r="C3" i="9"/>
  <c r="G4" i="9"/>
  <c r="C8" i="9"/>
  <c r="G10" i="9"/>
  <c r="C14" i="9"/>
  <c r="D3" i="9"/>
  <c r="H4" i="9"/>
  <c r="D8" i="9"/>
  <c r="D14" i="9"/>
  <c r="E8" i="9"/>
  <c r="E14" i="9"/>
  <c r="E3" i="9"/>
  <c r="F3" i="9"/>
  <c r="B6" i="9"/>
  <c r="F8" i="9"/>
  <c r="B12" i="9"/>
  <c r="F14" i="9"/>
  <c r="G3" i="9"/>
  <c r="C6" i="9"/>
  <c r="G8" i="9"/>
  <c r="C12" i="9"/>
  <c r="G14" i="9"/>
  <c r="E6" i="8"/>
  <c r="F6" i="8"/>
  <c r="B10" i="8"/>
  <c r="F12" i="8"/>
  <c r="E12" i="8"/>
  <c r="C4" i="8"/>
  <c r="G6" i="8"/>
  <c r="C10" i="8"/>
  <c r="G12" i="8"/>
  <c r="D4" i="8"/>
  <c r="H6" i="8"/>
  <c r="D10" i="8"/>
  <c r="H12" i="8"/>
  <c r="B3" i="8"/>
  <c r="F4" i="8"/>
  <c r="B8" i="8"/>
  <c r="F10" i="8"/>
  <c r="B14" i="8"/>
  <c r="C3" i="8"/>
  <c r="G4" i="8"/>
  <c r="C8" i="8"/>
  <c r="G10" i="8"/>
  <c r="C14" i="8"/>
  <c r="E4" i="8"/>
  <c r="E10" i="8"/>
  <c r="D3" i="8"/>
  <c r="H4" i="8"/>
  <c r="D8" i="8"/>
  <c r="D14" i="8"/>
  <c r="E3" i="8"/>
  <c r="E14" i="8"/>
  <c r="E8" i="8"/>
  <c r="E3" i="7"/>
  <c r="F3" i="8"/>
  <c r="B6" i="8"/>
  <c r="F8" i="8"/>
  <c r="B12" i="8"/>
  <c r="F14" i="8"/>
  <c r="G3" i="8"/>
  <c r="C6" i="8"/>
  <c r="G8" i="8"/>
  <c r="C12" i="8"/>
  <c r="G14" i="8"/>
  <c r="E12" i="7"/>
  <c r="C4" i="7"/>
  <c r="G6" i="7"/>
  <c r="C10" i="7"/>
  <c r="G12" i="7"/>
  <c r="D4" i="7"/>
  <c r="H6" i="7"/>
  <c r="D10" i="7"/>
  <c r="H12" i="7"/>
  <c r="E10" i="7"/>
  <c r="B3" i="7"/>
  <c r="F4" i="7"/>
  <c r="B8" i="7"/>
  <c r="F10" i="7"/>
  <c r="B14" i="7"/>
  <c r="B4" i="7"/>
  <c r="F6" i="7"/>
  <c r="B10" i="7"/>
  <c r="F12" i="7"/>
  <c r="E4" i="7"/>
  <c r="C3" i="7"/>
  <c r="G4" i="7"/>
  <c r="C8" i="7"/>
  <c r="G10" i="7"/>
  <c r="C14" i="7"/>
  <c r="E6" i="7"/>
  <c r="D3" i="7"/>
  <c r="D8" i="7"/>
  <c r="D14" i="7"/>
  <c r="E14" i="7"/>
  <c r="E8" i="7"/>
  <c r="F3" i="7"/>
  <c r="B6" i="7"/>
  <c r="F8" i="7"/>
  <c r="B12" i="7"/>
  <c r="F14" i="7"/>
  <c r="G3" i="7"/>
  <c r="C6" i="7"/>
  <c r="G8" i="7"/>
  <c r="C12" i="7"/>
  <c r="G14" i="7"/>
  <c r="E12" i="6"/>
  <c r="B4" i="6"/>
  <c r="F6" i="6"/>
  <c r="B10" i="6"/>
  <c r="F12" i="6"/>
  <c r="G6" i="6"/>
  <c r="C10" i="6"/>
  <c r="G12" i="6"/>
  <c r="D4" i="6"/>
  <c r="D10" i="6"/>
  <c r="E6" i="6"/>
  <c r="C4" i="6"/>
  <c r="H6" i="6"/>
  <c r="H12" i="6"/>
  <c r="B3" i="6"/>
  <c r="F10" i="6"/>
  <c r="B14" i="6"/>
  <c r="E4" i="6"/>
  <c r="E10" i="6"/>
  <c r="F4" i="6"/>
  <c r="C3" i="6"/>
  <c r="G4" i="6"/>
  <c r="C8" i="6"/>
  <c r="G10" i="6"/>
  <c r="C14" i="6"/>
  <c r="B8" i="6"/>
  <c r="D3" i="6"/>
  <c r="D8" i="6"/>
  <c r="D14" i="6"/>
  <c r="E8" i="6"/>
  <c r="E3" i="6"/>
  <c r="E14" i="6"/>
  <c r="F3" i="6"/>
  <c r="B6" i="6"/>
  <c r="F8" i="6"/>
  <c r="B12" i="6"/>
  <c r="F14" i="6"/>
  <c r="G3" i="6"/>
  <c r="C6" i="6"/>
  <c r="G8" i="6"/>
  <c r="C12" i="6"/>
  <c r="G14" i="6"/>
  <c r="B4" i="5" a="1"/>
  <c r="H4" i="5" s="1"/>
  <c r="B6" i="5" a="1"/>
  <c r="D6" i="5" s="1"/>
  <c r="D12" i="5"/>
  <c r="C12" i="5"/>
  <c r="B12" i="5"/>
  <c r="H12" i="5"/>
  <c r="G12" i="5"/>
  <c r="F12" i="5"/>
  <c r="E12" i="5"/>
  <c r="B10" i="5" a="1"/>
  <c r="B3" i="5" a="1"/>
  <c r="B8" i="5" a="1"/>
  <c r="B14" i="5" a="1"/>
  <c r="H14" i="4"/>
  <c r="G14" i="4"/>
  <c r="F14" i="4"/>
  <c r="E14" i="4"/>
  <c r="D14" i="4"/>
  <c r="C14" i="4"/>
  <c r="B14" i="4"/>
  <c r="B4" i="4" a="1"/>
  <c r="B10" i="4" a="1"/>
  <c r="B3" i="4" a="1"/>
  <c r="B8" i="4" a="1"/>
  <c r="B12" i="4" a="1"/>
  <c r="B6" i="4" a="1"/>
  <c r="B3" i="1" a="1"/>
  <c r="B3" i="1" s="1"/>
  <c r="B6" i="5" l="1"/>
  <c r="F6" i="5"/>
  <c r="G6" i="5"/>
  <c r="F4" i="5"/>
  <c r="E4" i="5"/>
  <c r="E6" i="5"/>
  <c r="B4" i="5"/>
  <c r="G4" i="5"/>
  <c r="H6" i="5"/>
  <c r="C6" i="5"/>
  <c r="C4" i="5"/>
  <c r="D4" i="5"/>
  <c r="H14" i="5"/>
  <c r="G14" i="5"/>
  <c r="F14" i="5"/>
  <c r="E14" i="5"/>
  <c r="D14" i="5"/>
  <c r="C14" i="5"/>
  <c r="B14" i="5"/>
  <c r="H8" i="5"/>
  <c r="G8" i="5"/>
  <c r="F8" i="5"/>
  <c r="E8" i="5"/>
  <c r="D8" i="5"/>
  <c r="B8" i="5"/>
  <c r="C8" i="5"/>
  <c r="H10" i="5"/>
  <c r="G10" i="5"/>
  <c r="F10" i="5"/>
  <c r="E10" i="5"/>
  <c r="D10" i="5"/>
  <c r="C10" i="5"/>
  <c r="B10" i="5"/>
  <c r="H3" i="5"/>
  <c r="G3" i="5"/>
  <c r="F3" i="5"/>
  <c r="E3" i="5"/>
  <c r="D3" i="5"/>
  <c r="C3" i="5"/>
  <c r="B3" i="5"/>
  <c r="D12" i="4"/>
  <c r="C12" i="4"/>
  <c r="H12" i="4"/>
  <c r="B12" i="4"/>
  <c r="F12" i="4"/>
  <c r="G12" i="4"/>
  <c r="E12" i="4"/>
  <c r="H8" i="4"/>
  <c r="G8" i="4"/>
  <c r="F8" i="4"/>
  <c r="E8" i="4"/>
  <c r="D8" i="4"/>
  <c r="C8" i="4"/>
  <c r="B8" i="4"/>
  <c r="H3" i="4"/>
  <c r="G3" i="4"/>
  <c r="E3" i="4"/>
  <c r="B3" i="4"/>
  <c r="F3" i="4"/>
  <c r="D3" i="4"/>
  <c r="C3" i="4"/>
  <c r="F4" i="4"/>
  <c r="D4" i="4"/>
  <c r="H4" i="4"/>
  <c r="G4" i="4"/>
  <c r="E4" i="4"/>
  <c r="C4" i="4"/>
  <c r="B4" i="4"/>
  <c r="F10" i="4"/>
  <c r="D10" i="4"/>
  <c r="H10" i="4"/>
  <c r="G10" i="4"/>
  <c r="E10" i="4"/>
  <c r="C10" i="4"/>
  <c r="B10" i="4"/>
  <c r="B12" i="1" a="1"/>
  <c r="B12" i="1" s="1"/>
  <c r="D6" i="4"/>
  <c r="C6" i="4"/>
  <c r="H6" i="4"/>
  <c r="B6" i="4"/>
  <c r="G6" i="4"/>
  <c r="F6" i="4"/>
  <c r="E6" i="4"/>
  <c r="B6" i="1" a="1"/>
  <c r="D6" i="1" s="1"/>
  <c r="B8" i="1" a="1"/>
  <c r="D8" i="1" s="1"/>
  <c r="B4" i="1" a="1"/>
  <c r="C4" i="1" s="1"/>
  <c r="B10" i="1" a="1"/>
  <c r="D10" i="1" s="1"/>
  <c r="B14" i="1" a="1"/>
  <c r="G14" i="1" s="1"/>
  <c r="H3" i="1"/>
  <c r="C3" i="1"/>
  <c r="E3" i="1"/>
  <c r="F3" i="1"/>
  <c r="G3" i="1"/>
  <c r="D3" i="1"/>
  <c r="F12" i="1" l="1"/>
  <c r="D12" i="1"/>
  <c r="C12" i="1"/>
  <c r="G12" i="1"/>
  <c r="E12" i="1"/>
  <c r="H12" i="1"/>
  <c r="B8" i="1"/>
  <c r="B6" i="1"/>
  <c r="F8" i="1"/>
  <c r="E8" i="1"/>
  <c r="F6" i="1"/>
  <c r="C8" i="1"/>
  <c r="E6" i="1"/>
  <c r="C6" i="1"/>
  <c r="H8" i="1"/>
  <c r="H6" i="1"/>
  <c r="G6" i="1"/>
  <c r="G8" i="1"/>
  <c r="B10" i="1"/>
  <c r="G4" i="1"/>
  <c r="E14" i="1"/>
  <c r="D4" i="1"/>
  <c r="C14" i="1"/>
  <c r="H10" i="1"/>
  <c r="H14" i="1"/>
  <c r="E10" i="1"/>
  <c r="B4" i="1"/>
  <c r="B14" i="1"/>
  <c r="F4" i="1"/>
  <c r="G10" i="1"/>
  <c r="H4" i="1"/>
  <c r="F14" i="1"/>
  <c r="D14" i="1"/>
  <c r="C10" i="1"/>
  <c r="E4" i="1"/>
  <c r="F10" i="1"/>
</calcChain>
</file>

<file path=xl/sharedStrings.xml><?xml version="1.0" encoding="utf-8"?>
<sst xmlns="http://schemas.openxmlformats.org/spreadsheetml/2006/main" count="808" uniqueCount="339">
  <si>
    <t>FIRST DAY OF WEEK</t>
  </si>
  <si>
    <t>JANUARY</t>
  </si>
  <si>
    <t xml:space="preserve">  CALENDAR YEAR</t>
  </si>
  <si>
    <t>CALENDAR MONTH</t>
  </si>
  <si>
    <t>NOVEMBER</t>
  </si>
  <si>
    <t>DECEMBER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</si>
  <si>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</si>
  <si>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</si>
  <si>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</si>
  <si>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</si>
  <si>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</si>
  <si>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</si>
  <si>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</si>
  <si>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</si>
  <si>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</si>
  <si>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</si>
  <si>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Ryan vac</t>
  </si>
  <si>
    <t>jojo off</t>
  </si>
  <si>
    <t xml:space="preserve">jojo off </t>
  </si>
  <si>
    <t>jojo vac</t>
  </si>
  <si>
    <t>jojo off (chinese new year)</t>
  </si>
  <si>
    <t>Cindy VAC</t>
  </si>
  <si>
    <t>Merve Off</t>
  </si>
  <si>
    <t>Ayako Off</t>
  </si>
  <si>
    <t>Brian OFF / Jon L - Off / Ayako Off</t>
  </si>
  <si>
    <t>Jon L - Off/ Ayako Off</t>
  </si>
  <si>
    <t>Cindy VAC / Jon L - Off/ Ayako Off</t>
  </si>
  <si>
    <t>Jon L - Off/Maria VAC/ Ayako Off</t>
  </si>
  <si>
    <t>Cindy VAC// Ayako Off</t>
  </si>
  <si>
    <t>/ Ayako Off</t>
  </si>
  <si>
    <t>Ryan vac/ Ayako Off</t>
  </si>
  <si>
    <t>Maria Vac</t>
  </si>
  <si>
    <t>CindyVAC/MariaVac/EmilynOFF</t>
  </si>
  <si>
    <t>Christian REQ off</t>
  </si>
  <si>
    <t xml:space="preserve"> Jojo vac / Christian VAC</t>
  </si>
  <si>
    <t>Christian VAC / Cindy VAC</t>
  </si>
  <si>
    <t>Troy OFF / Tristan OFF</t>
  </si>
  <si>
    <t>/ Eurielle Off</t>
  </si>
  <si>
    <t>/ Ayako Off / Eurielle Off/jojo off</t>
  </si>
  <si>
    <t xml:space="preserve"> Jojo vac / Ryan vac / EmilynOFF </t>
  </si>
  <si>
    <t>Eurielle Off</t>
  </si>
  <si>
    <t>Jojo vac (nexus)/ Christian REQ OFF</t>
  </si>
  <si>
    <t>Jojo vac ( Caitlyn b-day)/ Christian REQ OFF</t>
  </si>
  <si>
    <t>Christian OFF, KC OFF</t>
  </si>
  <si>
    <t>jojo vac, KC OFF</t>
  </si>
  <si>
    <t xml:space="preserve">Troy OFF / Tristan OFF / </t>
  </si>
  <si>
    <t xml:space="preserve">Troy OFF /   </t>
  </si>
  <si>
    <t>jojo vac / CINDY VAC</t>
  </si>
  <si>
    <t>Troy req off</t>
  </si>
  <si>
    <t>Troy OFF</t>
  </si>
  <si>
    <t>Troy req off / Ryan req off</t>
  </si>
  <si>
    <t>Brian Off</t>
  </si>
  <si>
    <t>Brian REQ OFF</t>
  </si>
  <si>
    <t>Brian REQ AM OFF</t>
  </si>
  <si>
    <t>Jojo off ( bc children)</t>
  </si>
  <si>
    <t>Brian REQ OFF // KC Req Off</t>
  </si>
  <si>
    <t>Brian REQ OFF  // KC Req Off</t>
  </si>
  <si>
    <t>KC party preparation??</t>
  </si>
  <si>
    <t>Brian REQ OFF // KC Req Off // Eurelle OFF</t>
  </si>
  <si>
    <t>Emilyn vacation pay</t>
  </si>
  <si>
    <t>Emilyn off vacation</t>
  </si>
  <si>
    <t xml:space="preserve">Emailyn off vacation </t>
  </si>
  <si>
    <t>Tony VAC</t>
  </si>
  <si>
    <t>Jon L - Vacation  /Tony VAC</t>
  </si>
  <si>
    <t xml:space="preserve">Brian No am </t>
  </si>
  <si>
    <t xml:space="preserve">Brian NO am </t>
  </si>
  <si>
    <t xml:space="preserve">Jon L - Vacation /Tony VAC </t>
  </si>
  <si>
    <t>KC Req Off  /Tony VAC / Troy req AM OFF</t>
  </si>
  <si>
    <t>Brian REQ OFF // KC Req Off// Eurelle Off // Leo Off</t>
  </si>
  <si>
    <t>// Leo Off</t>
  </si>
  <si>
    <t xml:space="preserve">Tony VAC  /Tony VAC / </t>
  </si>
  <si>
    <t xml:space="preserve">Jon L - Vacation  /Tony VAC / </t>
  </si>
  <si>
    <t xml:space="preserve"> /Tony VAC / </t>
  </si>
  <si>
    <t xml:space="preserve">Jon L - Vacation                             /Tony VAC / </t>
  </si>
  <si>
    <t xml:space="preserve">KC Req Off  /Tony VAC / </t>
  </si>
  <si>
    <t>Jon L - Vacation  /Tony VAC//Michael OFF</t>
  </si>
  <si>
    <t>Tony VAC / Brian REQ OFF</t>
  </si>
  <si>
    <t>Tony VAC// Leo Off / Rose OFF / Brian REQ OFF</t>
  </si>
  <si>
    <t>Kc req off // Tony VAC / Rose OFF / Brian REQ OFF</t>
  </si>
  <si>
    <t>KC req off / Christian OFF // Tony VAC / Rose OFF / Brian REQ OFF</t>
  </si>
  <si>
    <t>Christian OFF/KC req off // Tony VAC / Rose OFF / Brian REQ OFF</t>
  </si>
  <si>
    <t>Christian OFF/KC req off // Tony VAC / Brian REQ OFF</t>
  </si>
  <si>
    <t>Christian OFF /Tony VAC / Brian REQ OFF</t>
  </si>
  <si>
    <t>Tony VAC// Michael OFF / Brian REQ OFF</t>
  </si>
  <si>
    <t xml:space="preserve">Jojo off (parksville) </t>
  </si>
  <si>
    <t>Jojo off (parksville)</t>
  </si>
  <si>
    <t>Jojo off (parksville)//Michael OFF</t>
  </si>
  <si>
    <r>
      <t>Christian OFF /</t>
    </r>
    <r>
      <rPr>
        <b/>
        <sz val="9"/>
        <color rgb="FFFF0000"/>
        <rFont val="Calibri Light"/>
        <family val="2"/>
        <scheme val="minor"/>
      </rPr>
      <t xml:space="preserve"> // Tony VAC / Brian REQ OFF</t>
    </r>
  </si>
  <si>
    <r>
      <t>Christian OFF /</t>
    </r>
    <r>
      <rPr>
        <b/>
        <sz val="9"/>
        <color rgb="FFFF0000"/>
        <rFont val="Calibri Light"/>
        <family val="2"/>
        <scheme val="minor"/>
      </rPr>
      <t xml:space="preserve"> / Tony VAC / Brian REQ OFF</t>
    </r>
  </si>
  <si>
    <r>
      <t xml:space="preserve">Christian OFF / </t>
    </r>
    <r>
      <rPr>
        <b/>
        <sz val="9"/>
        <color theme="1"/>
        <rFont val="Calibri Light"/>
        <family val="2"/>
        <scheme val="minor"/>
      </rPr>
      <t xml:space="preserve"> </t>
    </r>
    <r>
      <rPr>
        <b/>
        <sz val="9"/>
        <color rgb="FFFF0000"/>
        <rFont val="Calibri Light"/>
        <family val="2"/>
        <scheme val="minor"/>
      </rPr>
      <t>/ Tony VAC / Brian REQ OFF</t>
    </r>
  </si>
  <si>
    <r>
      <t>Christian OFF /</t>
    </r>
    <r>
      <rPr>
        <b/>
        <sz val="9"/>
        <color rgb="FFFF0000"/>
        <rFont val="Calibri Light"/>
        <family val="2"/>
        <scheme val="minor"/>
      </rPr>
      <t xml:space="preserve"> /Tony VAC / Brian REQ OFF</t>
    </r>
  </si>
  <si>
    <r>
      <t>jojo off / Christian OFF /</t>
    </r>
    <r>
      <rPr>
        <b/>
        <sz val="9"/>
        <color rgb="FFFF0000"/>
        <rFont val="Calibri Light"/>
        <family val="2"/>
        <scheme val="minor"/>
      </rPr>
      <t xml:space="preserve"> / Tony VAC / Brian REQ OFF</t>
    </r>
  </si>
  <si>
    <r>
      <t xml:space="preserve">Christian OFF / </t>
    </r>
    <r>
      <rPr>
        <b/>
        <sz val="9"/>
        <color rgb="FFFF0000"/>
        <rFont val="Calibri Light"/>
        <family val="2"/>
        <scheme val="minor"/>
      </rPr>
      <t>/Tony VAC / Brian REQ OFF</t>
    </r>
  </si>
  <si>
    <t>Emilyn BACK to WORK audit shift</t>
  </si>
  <si>
    <t>Jon L - Vacation  /Tony VAC                        /  KC Req off</t>
  </si>
  <si>
    <t>Michael OFF / Troy req off</t>
  </si>
  <si>
    <r>
      <t xml:space="preserve">Tony VAC / Brian REQ OFF </t>
    </r>
    <r>
      <rPr>
        <b/>
        <sz val="9"/>
        <color rgb="FFFF0000"/>
        <rFont val="Calibri Light"/>
        <family val="2"/>
        <scheme val="minor"/>
      </rPr>
      <t>EmilynVAC</t>
    </r>
  </si>
  <si>
    <t>Leo REQ OFF //</t>
  </si>
  <si>
    <t>Leo REQ OFF // Troy req off</t>
  </si>
  <si>
    <t>Jon L - Vacation                    /Tony VAC / Christian req OFF</t>
  </si>
  <si>
    <t>Jon L - Vacation/ Jojo am( Recital)                                       Kc Req Off  /Tony VAC / Troy req AM OFF/brian off</t>
  </si>
  <si>
    <t>Jon L - Vacation                   Kc Req Off  /Tony VAC / Troy req AM OFF / Christian req OFF/brian off</t>
  </si>
  <si>
    <t>Jon L - Vacation                           Kc Req Off  /Tony VAC / Troy req AM OFF/Brian off</t>
  </si>
  <si>
    <t>Jon L - Vacation /Tony VAC / Troy req AM OFF / CINDY VAC/brian off</t>
  </si>
  <si>
    <t>Jon L - Vacation / Tony VAC / Troy req AM OFF/brian off</t>
  </si>
  <si>
    <t>Tony VAC / Troy req AM OFF/brian off</t>
  </si>
  <si>
    <t>Tony VAC/brian off</t>
  </si>
  <si>
    <t>jojo off (Avalyn's b-day)</t>
  </si>
  <si>
    <t>Troy req off/Brian req off</t>
  </si>
  <si>
    <t>EURIELLE REQ OFF</t>
  </si>
  <si>
    <t xml:space="preserve">Tony VAC  /Tony VAC </t>
  </si>
  <si>
    <t>Ryan REQ OFF</t>
  </si>
  <si>
    <t>JORDAN VAC FOFF</t>
  </si>
  <si>
    <t>Troy REQ OFF / Ryan REQ OFF/Kevin OFF</t>
  </si>
  <si>
    <t>Michael OFF / Ryan REQ OFF/Kevin OFF</t>
  </si>
  <si>
    <t>Ryan REQ VAC/Kevin OFF</t>
  </si>
  <si>
    <t>/Kevin OFF</t>
  </si>
  <si>
    <t>Christian req off/ Troy off</t>
  </si>
  <si>
    <t>Emilyn vacation pay // John Vac</t>
  </si>
  <si>
    <t>Emilyn vacation pay / Michael OFF / // John Vac</t>
  </si>
  <si>
    <t>Emilyn vacation pay// John Vac</t>
  </si>
  <si>
    <t>Michael OFF// John Vac</t>
  </si>
  <si>
    <t>// John Vac</t>
  </si>
  <si>
    <t>Emilyn vacation pay // John Vac / CINDY VAC</t>
  </si>
  <si>
    <t>Christian req off/Troy req off/Tristan req off // Anna Off</t>
  </si>
  <si>
    <t>Christian req off// Anna Off</t>
  </si>
  <si>
    <t>// Anna Off</t>
  </si>
  <si>
    <t>jojo off / Ryan REQ OFF/ Cindy VAC// Sheng OFF</t>
  </si>
  <si>
    <t>jojo off// John Vac/ Cindy VAC /</t>
  </si>
  <si>
    <t>John Vac/ Merve off</t>
  </si>
  <si>
    <t>John Vac // merve off</t>
  </si>
  <si>
    <t xml:space="preserve"> Ryan REQ OFF// Sheng OFF//Merve off</t>
  </si>
  <si>
    <t>merve req off</t>
  </si>
  <si>
    <t>Jojo off // merve req off</t>
  </si>
  <si>
    <t>Christian req off / Brain Req off/ Michael n/a</t>
  </si>
  <si>
    <t>// Leo vac</t>
  </si>
  <si>
    <t xml:space="preserve">// Leo vac/ jojo off </t>
  </si>
  <si>
    <t>// Leo off</t>
  </si>
  <si>
    <t>merve req off/ EURIELLE off</t>
  </si>
  <si>
    <t>jojo off / EURIELLE REQ OFF/ Cindy VAC // Sheng OFF/ rose req vac</t>
  </si>
  <si>
    <t>Christian VAC / Leo vac</t>
  </si>
  <si>
    <t>Christian VAC / /Michael OFF</t>
  </si>
  <si>
    <t xml:space="preserve">Christian VAC / </t>
  </si>
  <si>
    <t>Christian VAC /</t>
  </si>
  <si>
    <t>Christian VAC / Abdi Req</t>
  </si>
  <si>
    <t>Christian VAC /Jojo off/ Abdi Req</t>
  </si>
  <si>
    <t xml:space="preserve">Christian VAC/ Tony Off </t>
  </si>
  <si>
    <t>Abdi Req</t>
  </si>
  <si>
    <t>Leo vac/ Abdi Req</t>
  </si>
  <si>
    <t>// Leo vac/ ayako off</t>
  </si>
  <si>
    <t>Jojo off ( sammy b-day)/ Christian VAC (B-day) / Brian Req off / CINDY VAC</t>
  </si>
  <si>
    <t>Christian VAC / Abdi Req/ Cindy VAC / CINDY VAC</t>
  </si>
  <si>
    <t>michael n/a  / CINDY VAC</t>
  </si>
  <si>
    <t>CINDY VAC</t>
  </si>
  <si>
    <t xml:space="preserve">Abdi Req/ </t>
  </si>
  <si>
    <t xml:space="preserve">jojo off / Cindy VAC/EURIELLE off / Rose req vac/ Kevin off </t>
  </si>
  <si>
    <r>
      <t xml:space="preserve">Christian VAC </t>
    </r>
    <r>
      <rPr>
        <b/>
        <sz val="9"/>
        <color theme="1"/>
        <rFont val="Calibri Light"/>
        <family val="2"/>
        <scheme val="minor"/>
      </rPr>
      <t>/EmilynVAC</t>
    </r>
    <r>
      <rPr>
        <sz val="9"/>
        <color theme="1"/>
        <rFont val="Calibri Light"/>
        <family val="2"/>
        <scheme val="minor"/>
      </rPr>
      <t xml:space="preserve"> </t>
    </r>
    <r>
      <rPr>
        <b/>
        <sz val="9"/>
        <color theme="1"/>
        <rFont val="Calibri Light"/>
        <family val="2"/>
        <scheme val="minor"/>
      </rPr>
      <t>Margaux BDAY</t>
    </r>
    <r>
      <rPr>
        <sz val="9"/>
        <color theme="1"/>
        <rFont val="Calibri Light"/>
        <family val="2"/>
        <scheme val="minor"/>
      </rPr>
      <t xml:space="preserve">/ Abdi Req/ John p off </t>
    </r>
  </si>
  <si>
    <t xml:space="preserve">Christian VAC /Abdi Req- John p off </t>
  </si>
  <si>
    <t>Ryan REQ VAC</t>
  </si>
  <si>
    <t>Christian VAC / Abdi Req / Tristan Req off/ ayako off</t>
  </si>
  <si>
    <r>
      <t xml:space="preserve">Christian VAC /  </t>
    </r>
    <r>
      <rPr>
        <b/>
        <sz val="9"/>
        <color rgb="FFFF0000"/>
        <rFont val="Calibri Light"/>
        <family val="2"/>
        <scheme val="minor"/>
      </rPr>
      <t>JORDAN BDAY OFF/ Abdi Req</t>
    </r>
    <r>
      <rPr>
        <sz val="9"/>
        <color theme="1"/>
        <rFont val="Calibri Light"/>
        <family val="2"/>
        <scheme val="minor"/>
      </rPr>
      <t xml:space="preserve">/ John p off </t>
    </r>
  </si>
  <si>
    <t xml:space="preserve"> Abdi Req/ michael n/a /John P off </t>
  </si>
  <si>
    <t xml:space="preserve"> </t>
  </si>
  <si>
    <t>Ricardo vac /rose vac</t>
  </si>
  <si>
    <t>Tony off /Ricardo vac /rose vac</t>
  </si>
  <si>
    <t>Kevin off/tony off/Ricardo vac /rose vac</t>
  </si>
  <si>
    <t>tony off/Ricardo vac/rose vac</t>
  </si>
  <si>
    <t>tony off /Ricardo off/rose vac</t>
  </si>
  <si>
    <t>KC REQ OFF/Ricardo vac /rose vac</t>
  </si>
  <si>
    <t>KC REQ OFF/Ricardo off/rose vac</t>
  </si>
  <si>
    <t>KC REQ OFF/Ricardo vac /rose off</t>
  </si>
  <si>
    <t>KC REQ OFF/Ricardo vac / rose off</t>
  </si>
  <si>
    <t>KC REQ OFF/Ricardo vac/rose vac</t>
  </si>
  <si>
    <t xml:space="preserve"> Troy req off / Christian req OFF / KC REQ OFF/AYAKO OFF (UNTIL 11/24)/Ricardo off/rose vac</t>
  </si>
  <si>
    <t>Troy Vac / KC REQ OFF/ Ayako Off/ Ricardo OFF/rose vac</t>
  </si>
  <si>
    <t>Troy Vac / KC REQ OFF/Ayako Off/Ricardo vac/rose vac</t>
  </si>
  <si>
    <t>Troy Vac / KC REQ OFF/Ayako Off/Ricardo OFF/rose vac</t>
  </si>
  <si>
    <t>Troy Vac/Ayako Off/Ricardo vac/rose vac</t>
  </si>
  <si>
    <t>Troy Vac/Ayako Off/kevin Off/Ricardo vac/rose vac</t>
  </si>
  <si>
    <t>Troy Vac/Ayako Off/Ricardo OFF/rose vac</t>
  </si>
  <si>
    <t>Troy Req off/Ayako Off/Ricardo OFF/rose vac</t>
  </si>
  <si>
    <t>Troy Vac / KC REQ OFF/Ayako Off/Ricardo vac/rose off</t>
  </si>
  <si>
    <t>merve off</t>
  </si>
  <si>
    <t>// Leo vac/ merve off</t>
  </si>
  <si>
    <t>EMILYN OFF</t>
  </si>
  <si>
    <t>merve off/ Ayako Off</t>
  </si>
  <si>
    <t>Sato off</t>
  </si>
  <si>
    <t>tony off /Sato off</t>
  </si>
  <si>
    <t>// Leo vac// merve off</t>
  </si>
  <si>
    <t>Ayako OFF</t>
  </si>
  <si>
    <t>merve off / Tony H off</t>
  </si>
  <si>
    <t>Troy Vac/Ayako Off/kevin Off/Ricardo vac/rose vac/John Off</t>
  </si>
  <si>
    <t>Troy Vac/Ayako Off/Ricardo OFF/rose vac/John off</t>
  </si>
  <si>
    <t>Troy Vac/Ayako Off/Ricardo vac/rose off/john off</t>
  </si>
  <si>
    <t>Troy Vac/Ayako Off/Ricardo vac/rose vac/john off</t>
  </si>
  <si>
    <t>Troy Vac/Ayako Off/Ricardo vac/rose vac/johnoff</t>
  </si>
  <si>
    <t>// Leo vac / Ayako off/ Euri off</t>
  </si>
  <si>
    <t>// Leo off/ayako off/Euri off</t>
  </si>
  <si>
    <r>
      <t xml:space="preserve">// Leo Off </t>
    </r>
    <r>
      <rPr>
        <b/>
        <sz val="9"/>
        <color theme="1"/>
        <rFont val="Calibri Light"/>
        <family val="2"/>
        <scheme val="minor"/>
      </rPr>
      <t>Emilyn VAC&amp;ABDI AUDIT10PM</t>
    </r>
    <r>
      <rPr>
        <sz val="9"/>
        <color theme="1"/>
        <rFont val="Calibri Light"/>
        <family val="2"/>
        <scheme val="minor"/>
      </rPr>
      <t xml:space="preserve"> / Euri off </t>
    </r>
  </si>
  <si>
    <t xml:space="preserve">rose back/merve off/ Toshi off </t>
  </si>
  <si>
    <t>Troy Req off/Ayako Off/Ricardo OFF/rose vac/merve vac</t>
  </si>
  <si>
    <t>Troy Req off/Ayako Off/ Ricardo back/rose off/merve vac</t>
  </si>
  <si>
    <t>Ayako Off/ rose off/merve vac</t>
  </si>
  <si>
    <r>
      <t xml:space="preserve">// Leo Off </t>
    </r>
    <r>
      <rPr>
        <b/>
        <sz val="9"/>
        <color theme="1"/>
        <rFont val="Calibri Light"/>
        <family val="2"/>
        <scheme val="minor"/>
      </rPr>
      <t>/EmilynVAC&amp;ABDI AUDIT10PM/</t>
    </r>
    <r>
      <rPr>
        <sz val="9"/>
        <color theme="1"/>
        <rFont val="Calibri Light"/>
        <family val="2"/>
        <scheme val="minor"/>
      </rPr>
      <t xml:space="preserve"> Terry Off /   </t>
    </r>
  </si>
  <si>
    <t>jojo off / CINDY VAC</t>
  </si>
  <si>
    <t xml:space="preserve">// Leo vac /Troy off </t>
  </si>
  <si>
    <t>Emilyn VAC / Merve Off</t>
  </si>
  <si>
    <t>leo back/Ryan Req Off</t>
  </si>
  <si>
    <t>Leo off /KC off</t>
  </si>
  <si>
    <t>Cindy Vac</t>
  </si>
  <si>
    <t>BRIAN VAC / TRISTAN VAC/John OFF</t>
  </si>
  <si>
    <t>JOHN OFF</t>
  </si>
  <si>
    <r>
      <t>jojo off  //</t>
    </r>
    <r>
      <rPr>
        <sz val="9"/>
        <color theme="1"/>
        <rFont val="Calibri Light"/>
        <family val="2"/>
        <scheme val="minor"/>
      </rPr>
      <t xml:space="preserve"> Leo Off</t>
    </r>
    <r>
      <rPr>
        <b/>
        <sz val="9"/>
        <color theme="1"/>
        <rFont val="Calibri Light"/>
        <family val="2"/>
        <scheme val="minor"/>
      </rPr>
      <t xml:space="preserve">// EmilynVAC&amp;ABDI AUDIT 10pm// Christian No Audit/ </t>
    </r>
    <r>
      <rPr>
        <sz val="11"/>
        <color theme="1"/>
        <rFont val="Calibri Light"/>
        <family val="2"/>
        <scheme val="minor"/>
      </rPr>
      <t>JOHN OFF</t>
    </r>
  </si>
  <si>
    <t>Troy req off  / Cindy VAC</t>
  </si>
  <si>
    <t>EMILYN OFF/Tony Chu off</t>
  </si>
  <si>
    <t>Emily VAC/Tony Chu off</t>
  </si>
  <si>
    <t>Tony Chu off</t>
  </si>
  <si>
    <t>jojo off /Tony Chu off</t>
  </si>
  <si>
    <t>Tony Chu back</t>
  </si>
  <si>
    <t>// Leo Off/euri off/ Christian Off/John off</t>
  </si>
  <si>
    <t>John off</t>
  </si>
  <si>
    <t xml:space="preserve">EmilynVAC / John off </t>
  </si>
  <si>
    <t xml:space="preserve">jojo off /Tony Chu off / John off </t>
  </si>
  <si>
    <t>Leo off</t>
  </si>
  <si>
    <t>jojo off /Leo OFF</t>
  </si>
  <si>
    <t>jojo off /Leo off</t>
  </si>
  <si>
    <t>Sato REQ OFF</t>
  </si>
  <si>
    <t>Christian REQ Off, Sato REQ Off</t>
  </si>
  <si>
    <t>Toshi off</t>
  </si>
  <si>
    <t xml:space="preserve">Christian req off/ troy req off / Tristan req off / </t>
  </si>
  <si>
    <t xml:space="preserve">Christian req off/ CINDY VAC/ Toshi off / </t>
  </si>
  <si>
    <t>John Prasad off</t>
  </si>
  <si>
    <t>Troy Off /John Prasad off</t>
  </si>
  <si>
    <t>Tony H- 3:30</t>
  </si>
  <si>
    <t>Kevin off/ Christian req off</t>
  </si>
  <si>
    <t>Ryan REQ VAC / CINDY VAC</t>
  </si>
  <si>
    <t>Ryan REQ OFF / CINDY VAC</t>
  </si>
  <si>
    <t>Ryan REQ VAC/ john off</t>
  </si>
  <si>
    <t xml:space="preserve">Ryan REQ VAC/john off </t>
  </si>
  <si>
    <t>Rose vac</t>
  </si>
  <si>
    <t>rose vac</t>
  </si>
  <si>
    <t>rose off</t>
  </si>
  <si>
    <t>Sato REQ OFF / rose vac</t>
  </si>
  <si>
    <t>Sato REQ OFF/ rose vac</t>
  </si>
  <si>
    <t>Sato REQ OFF/ rose off</t>
  </si>
  <si>
    <t>Leo off, Sato REQ OFF/rose off</t>
  </si>
  <si>
    <t>Leo off, Sato REQ OFF/ rose vac</t>
  </si>
  <si>
    <t xml:space="preserve"> rose vac</t>
  </si>
  <si>
    <t>Leo off/rose off</t>
  </si>
  <si>
    <t>Leo off/ rose vac</t>
  </si>
  <si>
    <t xml:space="preserve">Leo off, Sato REQ OFF/ rose vac </t>
  </si>
  <si>
    <t>jojo off /Merve off/ Emilyn off</t>
  </si>
  <si>
    <t>Merve off/ Emilyn off</t>
  </si>
  <si>
    <t>Emilyn off</t>
  </si>
  <si>
    <t>Emilyn Off</t>
  </si>
  <si>
    <t>Emilyn req Vac</t>
  </si>
  <si>
    <r>
      <t>Ryan REQ OFF/Merve off/john off /</t>
    </r>
    <r>
      <rPr>
        <b/>
        <sz val="11"/>
        <color theme="1"/>
        <rFont val="Calibri Light"/>
        <family val="2"/>
        <scheme val="minor"/>
      </rPr>
      <t>Emilyn reqVac</t>
    </r>
  </si>
  <si>
    <r>
      <t>Merve off/</t>
    </r>
    <r>
      <rPr>
        <b/>
        <sz val="11"/>
        <color theme="1"/>
        <rFont val="Calibri Light"/>
        <family val="2"/>
        <scheme val="minor"/>
      </rPr>
      <t>Emilyn reqVac</t>
    </r>
  </si>
  <si>
    <t>Sato REQ OFF/ Christian REQ Off / BRIAN REQ OFF</t>
  </si>
  <si>
    <t>Sato REQ OFF / BRIAN REQ OFF</t>
  </si>
  <si>
    <r>
      <t xml:space="preserve">Ryan REQ OFF/ Merve off/ </t>
    </r>
    <r>
      <rPr>
        <b/>
        <sz val="11"/>
        <color theme="1"/>
        <rFont val="Calibri Light"/>
        <family val="2"/>
        <scheme val="minor"/>
      </rPr>
      <t>Emilyn reqVac</t>
    </r>
    <r>
      <rPr>
        <sz val="11"/>
        <color theme="1"/>
        <rFont val="Calibri Light"/>
        <family val="2"/>
        <scheme val="minor"/>
      </rPr>
      <t xml:space="preserve"> /John off</t>
    </r>
  </si>
  <si>
    <t>Sato REQ OFF / Tristan REQ OFF/ Christian REQ Off / BRIAN REQ OFF/ john off</t>
  </si>
  <si>
    <t>rose off/ Tony off</t>
  </si>
  <si>
    <t>Leo off/Oscar off/tony off</t>
  </si>
  <si>
    <t>Leo off/ Oscar off/tony off</t>
  </si>
  <si>
    <t>kevin off/tony off</t>
  </si>
  <si>
    <t>tony off</t>
  </si>
  <si>
    <t>Rose vac/tony off</t>
  </si>
  <si>
    <t>rose vac/tony off</t>
  </si>
  <si>
    <t>rose off/tony off</t>
  </si>
  <si>
    <t>Oscar off/tony off</t>
  </si>
  <si>
    <t>kevin off/tony off/ Oscar off</t>
  </si>
  <si>
    <t>Leo off, kevin off/ Oscar back/tony off</t>
  </si>
  <si>
    <t>Leo off/rose off/ tony off/Ed n/a</t>
  </si>
  <si>
    <t>Leo off/ rose vac/tony off/ Oscar off/Ed n/a</t>
  </si>
  <si>
    <t>Leo off/tony off/ Oscar off/Ed n/a</t>
  </si>
  <si>
    <t>Leo off/ Oscar off/tony off/Ed n/a</t>
  </si>
  <si>
    <t>kc vac</t>
  </si>
  <si>
    <t>Leo back /kevin off/tony off/JOHN (CREW)</t>
  </si>
  <si>
    <t>Troy req off/</t>
  </si>
  <si>
    <t>Troy req off/merve vac</t>
  </si>
  <si>
    <t>merve vac</t>
  </si>
  <si>
    <t>Kevin off/merve vac</t>
  </si>
  <si>
    <t>CINDY VAC/ Oscar off/tony off/ Emilyn VAC/</t>
  </si>
  <si>
    <t xml:space="preserve">tony off/ Terry vac </t>
  </si>
  <si>
    <t>Leo off/ oscar off/tony off/Ed n/a / Eurielle vac</t>
  </si>
  <si>
    <t>oscar off/tony off/Ed n/a/Eurielle vac</t>
  </si>
  <si>
    <t>Kevin off/ Oscar off/tony off/Ed n/a/ Emilyn Vac/Eurielle vac</t>
  </si>
  <si>
    <t>Leo off, kevin off/Oscar off/tony off/Eurielle vac</t>
  </si>
  <si>
    <t>Eurielle vac</t>
  </si>
  <si>
    <t>Troy req off/JOHN OFF/ Christian Req Off</t>
  </si>
  <si>
    <t>Christian Req Off</t>
  </si>
  <si>
    <t xml:space="preserve">Troy req off </t>
  </si>
  <si>
    <t>Troy req off/ JOHN OFF</t>
  </si>
  <si>
    <t>Troy req off/JOHN OFF</t>
  </si>
  <si>
    <t xml:space="preserve">Troy req off/JOHN OFF </t>
  </si>
  <si>
    <t>Eurielle vac / Tristan OFF</t>
  </si>
  <si>
    <t>Tristan OFF</t>
  </si>
  <si>
    <t>Samuel OFF</t>
  </si>
  <si>
    <t>KC req vac</t>
  </si>
  <si>
    <t>Troy req off / KC req vac</t>
  </si>
  <si>
    <t>Troy req off/KC req vacf/merve off</t>
  </si>
  <si>
    <t>Troy req off/KC req vac/merv off</t>
  </si>
  <si>
    <t>Troy req off/KC req vac/ merve off</t>
  </si>
  <si>
    <t>Troy req off/KC req vac/merve off</t>
  </si>
  <si>
    <t xml:space="preserve">Troy req off/ KC req vacMerve off </t>
  </si>
  <si>
    <t>Tristan req vac</t>
  </si>
  <si>
    <t>Troy req off Tristan req vac</t>
  </si>
  <si>
    <t>Troy req off/Tristan req vac</t>
  </si>
  <si>
    <t>Leo off/Tristan req vac</t>
  </si>
  <si>
    <t>Troy req off//KC req vacf/merve off</t>
  </si>
  <si>
    <t>Christian Req Off  /       Cindy VAC</t>
  </si>
  <si>
    <t>Troy req off/JOHN OFF/</t>
  </si>
  <si>
    <t xml:space="preserve">Troy req off/JOHN OFF/ </t>
  </si>
  <si>
    <t>Brian N/A</t>
  </si>
  <si>
    <t>Anna Off</t>
  </si>
  <si>
    <t xml:space="preserve">Anna Off </t>
  </si>
  <si>
    <t xml:space="preserve">ANNA off </t>
  </si>
  <si>
    <t>Anna back</t>
  </si>
  <si>
    <t>Leo off /Samuel BACK</t>
  </si>
  <si>
    <t>Rob off</t>
  </si>
  <si>
    <t>Troy OFF pls pls pls pls / Tristan OFF pls pls pls pls/ Christian REQ Off/Rob off</t>
  </si>
  <si>
    <t>Troy OFF pls pls pls pls / Tristan OFF pls pls pls pls / Christian Req OFF/Rob off</t>
  </si>
  <si>
    <t>Christian Req Off/Rob back</t>
  </si>
  <si>
    <t>Rose off- Yoko open</t>
  </si>
  <si>
    <t>Yoko NA/ anna open</t>
  </si>
  <si>
    <t>JOHN OFF /Samuel OFF/YOKO n/a</t>
  </si>
  <si>
    <t>Samuel OFF/yoko open</t>
  </si>
  <si>
    <t xml:space="preserve"> KC req vac</t>
  </si>
  <si>
    <t>Brian N/A /  KC N/A</t>
  </si>
  <si>
    <t>Cindy VAC / KC N/A</t>
  </si>
  <si>
    <t xml:space="preserve"> rose vac/ Christian VAC</t>
  </si>
  <si>
    <t>jojo off / Troy req off/ Merve vac/ Christian Req VAC</t>
  </si>
  <si>
    <t>Troy req off/merve vac/ Christian Req VAC</t>
  </si>
  <si>
    <t>Troy req off /Emilyn reqVac margaux's Bday/merve vac / Christian Req VAC</t>
  </si>
  <si>
    <t>Troy req off/merve vac / Christian Req OFF</t>
  </si>
  <si>
    <t>Christian Req Off/Rob off/ KC req vac</t>
  </si>
  <si>
    <t>JOHN OFF / Cindy VAC</t>
  </si>
  <si>
    <t>Merve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</si>
</sst>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aaaa"/>
    <numFmt numFmtId="165" formatCode="dd"/>
  </numFmts>
  <fonts count="10" x14ac:knownFonts="1">
    <font>
      <sz val="11"/>
      <color theme="1"/>
      <name val="Calibri Light"/>
      <family val="2"/>
      <scheme val="minor"/>
    </font>
    <font>
      <sz val="32"/>
      <color theme="3"/>
      <name val="Calibri"/>
      <family val="2"/>
      <scheme val="major"/>
    </font>
    <font>
      <sz val="9"/>
      <color theme="1"/>
      <name val="Calibri Light"/>
      <family val="2"/>
      <scheme val="minor"/>
    </font>
    <font>
      <sz val="32"/>
      <color theme="4" tint="-0.24994659260841701"/>
      <name val="Calibri"/>
      <family val="2"/>
      <scheme val="major"/>
    </font>
    <font>
      <sz val="11"/>
      <color theme="1" tint="0.34998626667073579"/>
      <name val="Calibri Light"/>
      <family val="2"/>
      <scheme val="min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9"/>
      <color theme="1"/>
      <name val="Calibri Light"/>
      <family val="2"/>
      <scheme val="minor"/>
    </font>
    <font>
      <b/>
      <sz val="9"/>
      <color rgb="FFFF0000"/>
      <name val="Calibri Light"/>
      <family val="2"/>
      <scheme val="minor"/>
    </font>
    <font>
      <b/>
      <sz val="11"/>
      <color theme="1"/>
      <name val="Calibri Light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9">
    <xf numFmtId="0" fontId="0" fillId="0" borderId="0" applyBorder="0">
      <alignment vertical="top"/>
    </xf>
    <xf numFmtId="0" fontId="4" fillId="0" borderId="0" applyNumberFormat="0" applyFill="0" applyBorder="0" applyProtection="0">
      <alignment vertical="top"/>
    </xf>
    <xf numFmtId="0" fontId="1" fillId="0" borderId="0" applyProtection="0">
      <alignment horizontal="left"/>
    </xf>
    <xf numFmtId="0" fontId="3" fillId="0" borderId="0" applyNumberFormat="0" applyProtection="0">
      <alignment horizontal="left"/>
    </xf>
    <xf numFmtId="0" fontId="5" fillId="0" borderId="0" applyNumberFormat="0" applyProtection="0">
      <alignment horizontal="right"/>
    </xf>
    <xf numFmtId="164" fontId="6" fillId="0" borderId="4" applyFill="0" applyProtection="0">
      <alignment horizontal="center" vertical="center"/>
    </xf>
    <xf numFmtId="165" fontId="5" fillId="0" borderId="5" applyFill="0" applyProtection="0">
      <alignment horizontal="right" vertical="center" indent="1"/>
    </xf>
    <xf numFmtId="0" fontId="2" fillId="0" borderId="2">
      <alignment vertical="top" wrapText="1"/>
    </xf>
    <xf numFmtId="0" fontId="4" fillId="0" borderId="0" applyFill="0" applyBorder="0" applyProtection="0">
      <alignment horizontal="right" vertical="top"/>
    </xf>
  </cellStyleXfs>
  <cellXfs count="15">
    <xf numFmtId="0" fontId="0" fillId="0" borderId="0" xfId="0">
      <alignment vertical="top"/>
    </xf>
    <xf numFmtId="0" fontId="4" fillId="0" borderId="0" xfId="1">
      <alignment vertical="top"/>
    </xf>
    <xf numFmtId="164" fontId="6" fillId="0" borderId="4" xfId="5">
      <alignment horizontal="center" vertical="center"/>
    </xf>
    <xf numFmtId="165" fontId="5" fillId="0" borderId="1" xfId="6" applyBorder="1">
      <alignment horizontal="right" vertical="center" indent="1"/>
    </xf>
    <xf numFmtId="165" fontId="5" fillId="0" borderId="3" xfId="6" applyBorder="1">
      <alignment horizontal="right" vertical="center" indent="1"/>
    </xf>
    <xf numFmtId="0" fontId="2" fillId="0" borderId="2" xfId="7">
      <alignment vertical="top" wrapText="1"/>
    </xf>
    <xf numFmtId="0" fontId="0" fillId="0" borderId="2" xfId="7" applyFont="1">
      <alignment vertical="top" wrapText="1"/>
    </xf>
    <xf numFmtId="0" fontId="3" fillId="0" borderId="0" xfId="3">
      <alignment horizontal="left"/>
    </xf>
    <xf numFmtId="0" fontId="5" fillId="0" borderId="0" xfId="4">
      <alignment horizontal="right"/>
    </xf>
    <xf numFmtId="0" fontId="4" fillId="0" borderId="0" xfId="8">
      <alignment horizontal="right" vertical="top"/>
    </xf>
    <xf numFmtId="0" fontId="8" fillId="0" borderId="2" xfId="7" applyFont="1">
      <alignment vertical="top" wrapText="1"/>
    </xf>
    <xf numFmtId="0" fontId="7" fillId="0" borderId="2" xfId="7" applyFont="1">
      <alignment vertical="top" wrapText="1"/>
    </xf>
    <xf numFmtId="0" fontId="9" fillId="0" borderId="2" xfId="7" applyFont="1">
      <alignment vertical="top" wrapText="1"/>
    </xf>
    <xf numFmtId="0" fontId="1" fillId="0" borderId="0" xfId="2">
      <alignment horizontal="left"/>
    </xf>
    <xf numFmtId="0" fontId="4" fillId="0" borderId="0" xfId="1">
      <alignment vertical="top"/>
    </xf>
  </cellXfs>
  <cellStyles count="9">
    <cellStyle name="DayDescriptions" xfId="7" xr:uid="{00000000-0005-0000-0000-00000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 Label Left aligned" xfId="1" xr:uid="{00000000-0005-0000-0000-000005000000}"/>
    <cellStyle name="Input Label Right aligned" xfId="8" xr:uid="{00000000-0005-0000-0000-000006000000}"/>
    <cellStyle name="Normal" xfId="0" builtinId="0" customBuiltin="1"/>
    <cellStyle name="Title" xfId="2" builtinId="15" customBuiltin="1"/>
  </cellStyles>
  <dxfs count="2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B13" sqref="B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f ca="1">YEAR(TODAY())</f>
        <v>2026</v>
      </c>
      <c r="C1" s="13" t="s">
        <v>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aca="1" ref="B3:H3" ca="1">calendar</f>
        <v>46327</v>
      </c>
      <c r="C3" s="2">
        <f ca="1"/>
        <v>46328</v>
      </c>
      <c r="D3" s="2">
        <f ca="1"/>
        <v>46329</v>
      </c>
      <c r="E3" s="2">
        <f ca="1"/>
        <v>46330</v>
      </c>
      <c r="F3" s="2">
        <f ca="1"/>
        <v>46331</v>
      </c>
      <c r="G3" s="2">
        <f ca="1"/>
        <v>46332</v>
      </c>
      <c r="H3" s="2">
        <f ca="1"/>
        <v>46333</v>
      </c>
    </row>
    <row r="4" spans="2:8" ht="24" customHeight="1" thickTop="1" x14ac:dyDescent="0.2">
      <c r="B4" s="3">
        <f t="array" aca="1" ref="B4:H4" ca="1">INDEX(calendar,ndx+0)</f>
        <v>46327</v>
      </c>
      <c r="C4" s="3">
        <f ca="1"/>
        <v>46328</v>
      </c>
      <c r="D4" s="3">
        <f ca="1"/>
        <v>46329</v>
      </c>
      <c r="E4" s="3">
        <f ca="1"/>
        <v>46330</v>
      </c>
      <c r="F4" s="3">
        <f ca="1"/>
        <v>46331</v>
      </c>
      <c r="G4" s="3">
        <f ca="1"/>
        <v>46332</v>
      </c>
      <c r="H4" s="3">
        <f ca="1"/>
        <v>46333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aca="1" ref="B6:H6" ca="1">INDEX(calendar,ndx+1)</f>
        <v>46334</v>
      </c>
      <c r="C6" s="4">
        <f ca="1"/>
        <v>46335</v>
      </c>
      <c r="D6" s="4">
        <f ca="1"/>
        <v>46336</v>
      </c>
      <c r="E6" s="4">
        <f ca="1"/>
        <v>46337</v>
      </c>
      <c r="F6" s="4">
        <f ca="1"/>
        <v>46338</v>
      </c>
      <c r="G6" s="4">
        <f ca="1"/>
        <v>46339</v>
      </c>
      <c r="H6" s="4">
        <f ca="1"/>
        <v>46340</v>
      </c>
    </row>
    <row r="7" spans="2:8" ht="51" customHeight="1" x14ac:dyDescent="0.2">
      <c r="B7" s="6"/>
      <c r="C7" s="5"/>
      <c r="D7" s="5"/>
      <c r="E7" s="5" t="s">
        <v>23</v>
      </c>
      <c r="F7" s="5" t="s">
        <v>23</v>
      </c>
      <c r="G7" s="5" t="s">
        <v>23</v>
      </c>
      <c r="H7" s="5" t="s">
        <v>23</v>
      </c>
    </row>
    <row r="8" spans="2:8" ht="24" customHeight="1" x14ac:dyDescent="0.2">
      <c r="B8" s="4">
        <f t="array" aca="1" ref="B8:H8" ca="1">INDEX(calendar,ndx+2)</f>
        <v>46341</v>
      </c>
      <c r="C8" s="4">
        <f ca="1"/>
        <v>46342</v>
      </c>
      <c r="D8" s="4">
        <f ca="1"/>
        <v>46343</v>
      </c>
      <c r="E8" s="4">
        <f ca="1"/>
        <v>46344</v>
      </c>
      <c r="F8" s="4">
        <f ca="1"/>
        <v>46345</v>
      </c>
      <c r="G8" s="4">
        <f ca="1"/>
        <v>46346</v>
      </c>
      <c r="H8" s="4">
        <f ca="1"/>
        <v>46347</v>
      </c>
    </row>
    <row r="9" spans="2:8" ht="51" customHeight="1" x14ac:dyDescent="0.2">
      <c r="B9" s="6" t="s">
        <v>23</v>
      </c>
      <c r="C9" s="5" t="s">
        <v>23</v>
      </c>
      <c r="D9" s="5" t="s">
        <v>23</v>
      </c>
      <c r="E9" s="5" t="s">
        <v>23</v>
      </c>
      <c r="F9" s="5" t="s">
        <v>23</v>
      </c>
      <c r="G9" s="5" t="s">
        <v>23</v>
      </c>
      <c r="H9" s="5" t="s">
        <v>23</v>
      </c>
    </row>
    <row r="10" spans="2:8" ht="24" customHeight="1" x14ac:dyDescent="0.2">
      <c r="B10" s="4">
        <f t="array" aca="1" ref="B10:H10" ca="1">INDEX(calendar,ndx+3)</f>
        <v>46348</v>
      </c>
      <c r="C10" s="4">
        <f ca="1"/>
        <v>46349</v>
      </c>
      <c r="D10" s="4">
        <f ca="1"/>
        <v>46350</v>
      </c>
      <c r="E10" s="4">
        <f ca="1"/>
        <v>46351</v>
      </c>
      <c r="F10" s="4">
        <f ca="1"/>
        <v>46352</v>
      </c>
      <c r="G10" s="4">
        <f ca="1"/>
        <v>46353</v>
      </c>
      <c r="H10" s="4">
        <f ca="1"/>
        <v>46354</v>
      </c>
    </row>
    <row r="11" spans="2:8" ht="51" customHeight="1" x14ac:dyDescent="0.2">
      <c r="B11" s="5" t="s">
        <v>24</v>
      </c>
      <c r="C11" s="5" t="s">
        <v>25</v>
      </c>
      <c r="D11" s="5" t="s">
        <v>25</v>
      </c>
      <c r="E11" s="5" t="s">
        <v>25</v>
      </c>
      <c r="F11" s="5" t="s">
        <v>26</v>
      </c>
      <c r="G11" s="5" t="s">
        <v>27</v>
      </c>
      <c r="H11" s="5" t="s">
        <v>25</v>
      </c>
    </row>
    <row r="12" spans="2:8" ht="24" customHeight="1" x14ac:dyDescent="0.2">
      <c r="B12" s="4">
        <f t="array" aca="1" ref="B12:H12" ca="1">INDEX(calendar,ndx+4)</f>
        <v>46355</v>
      </c>
      <c r="C12" s="4">
        <f ca="1"/>
        <v>46356</v>
      </c>
      <c r="D12" s="4">
        <f ca="1"/>
        <v>46357</v>
      </c>
      <c r="E12" s="4">
        <f ca="1"/>
        <v>46358</v>
      </c>
      <c r="F12" s="4">
        <f ca="1"/>
        <v>46359</v>
      </c>
      <c r="G12" s="4">
        <f ca="1"/>
        <v>46360</v>
      </c>
      <c r="H12" s="4">
        <f ca="1"/>
        <v>46361</v>
      </c>
    </row>
    <row r="13" spans="2:8" ht="51" customHeight="1" x14ac:dyDescent="0.2">
      <c r="B13" s="5" t="s">
        <v>28</v>
      </c>
      <c r="C13" s="6" t="s">
        <v>22</v>
      </c>
      <c r="D13" s="6" t="s">
        <v>22</v>
      </c>
      <c r="E13" s="6" t="s">
        <v>22</v>
      </c>
      <c r="F13" s="5" t="s">
        <v>22</v>
      </c>
      <c r="G13" s="5" t="s">
        <v>22</v>
      </c>
      <c r="H13" s="5"/>
    </row>
    <row r="14" spans="2:8" ht="23.25" customHeight="1" x14ac:dyDescent="0.2">
      <c r="B14" s="4">
        <f t="array" aca="1" ref="B14:H14" ca="1">INDEX(calendar,ndx+5)</f>
        <v>46362</v>
      </c>
      <c r="C14" s="4">
        <f ca="1"/>
        <v>46363</v>
      </c>
      <c r="D14" s="4">
        <f ca="1"/>
        <v>46364</v>
      </c>
      <c r="E14" s="4">
        <f ca="1"/>
        <v>46365</v>
      </c>
      <c r="F14" s="4">
        <f ca="1"/>
        <v>46366</v>
      </c>
      <c r="G14" s="4">
        <f ca="1"/>
        <v>46367</v>
      </c>
      <c r="H14" s="4">
        <f ca="1"/>
        <v>46368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27" priority="1">
      <formula>MonthToDisplayNumber&lt;&gt;MONTH(B4)</formula>
    </cfRule>
  </conditionalFormatting>
  <conditionalFormatting sqref="B6:H6">
    <cfRule type="expression" dxfId="226" priority="6">
      <formula>MonthToDisplayNumber&lt;&gt;MONTH(B6)</formula>
    </cfRule>
  </conditionalFormatting>
  <conditionalFormatting sqref="B8:H8">
    <cfRule type="expression" dxfId="225" priority="5">
      <formula>MonthToDisplayNumber&lt;&gt;MONTH(B8)</formula>
    </cfRule>
  </conditionalFormatting>
  <conditionalFormatting sqref="B10:H10">
    <cfRule type="expression" dxfId="224" priority="4">
      <formula>MonthToDisplayNumber&lt;&gt;MONTH(B10)</formula>
    </cfRule>
  </conditionalFormatting>
  <conditionalFormatting sqref="B12:H12">
    <cfRule type="expression" dxfId="223" priority="3">
      <formula>MonthToDisplayNumber&lt;&gt;MONTH(B12)</formula>
    </cfRule>
  </conditionalFormatting>
  <conditionalFormatting sqref="B14:H14">
    <cfRule type="expression" dxfId="22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0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000-000001000000}"/>
    <dataValidation allowBlank="1" showInputMessage="1" showErrorMessage="1" prompt="Rows 12 and 14 may contain dates for the following month if the end of this month concludes in either row" sqref="B12" xr:uid="{00000000-0002-0000-0000-000002000000}"/>
    <dataValidation allowBlank="1" showInputMessage="1" showErrorMessage="1" prompt="Enter daily notes in this cell. Rows 5, 7, 9, 11, 13 and 15 have cells beneath the day of the week for daily notes" sqref="B5" xr:uid="{00000000-0002-0000-0000-000003000000}"/>
    <dataValidation allowBlank="1" showInputMessage="1" showErrorMessage="1" prompt="Enter the year for this calendar month" sqref="B1" xr:uid="{00000000-0002-0000-00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0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0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0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8" sqref="C18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f ca="1">YEAR(TODAY())</f>
        <v>2026</v>
      </c>
      <c r="C1" s="13" t="s">
        <v>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aca="1" ref="B3:H3" ca="1">calendar</f>
        <v>46355</v>
      </c>
      <c r="C3" s="2">
        <f ca="1"/>
        <v>46356</v>
      </c>
      <c r="D3" s="2">
        <f ca="1"/>
        <v>46357</v>
      </c>
      <c r="E3" s="2">
        <f ca="1"/>
        <v>46358</v>
      </c>
      <c r="F3" s="2">
        <f ca="1"/>
        <v>46359</v>
      </c>
      <c r="G3" s="2">
        <f ca="1"/>
        <v>46360</v>
      </c>
      <c r="H3" s="2">
        <f ca="1"/>
        <v>46361</v>
      </c>
    </row>
    <row r="4" spans="2:8" ht="24" customHeight="1" thickTop="1" x14ac:dyDescent="0.2">
      <c r="B4" s="3">
        <f t="array" aca="1" ref="B4:H4" ca="1">INDEX(calendar,ndx+0)</f>
        <v>46355</v>
      </c>
      <c r="C4" s="3">
        <f ca="1"/>
        <v>46356</v>
      </c>
      <c r="D4" s="3">
        <f ca="1"/>
        <v>46357</v>
      </c>
      <c r="E4" s="3">
        <f ca="1"/>
        <v>46358</v>
      </c>
      <c r="F4" s="3">
        <f ca="1"/>
        <v>46359</v>
      </c>
      <c r="G4" s="3">
        <f ca="1"/>
        <v>46360</v>
      </c>
      <c r="H4" s="3">
        <f ca="1"/>
        <v>46361</v>
      </c>
    </row>
    <row r="5" spans="2:8" ht="51" customHeight="1" x14ac:dyDescent="0.2">
      <c r="B5" s="6"/>
      <c r="C5" s="6"/>
      <c r="D5" s="6"/>
      <c r="E5" s="6"/>
      <c r="F5" s="6"/>
      <c r="G5" s="6" t="s">
        <v>40</v>
      </c>
      <c r="H5" s="6"/>
    </row>
    <row r="6" spans="2:8" ht="24" customHeight="1" x14ac:dyDescent="0.2">
      <c r="B6" s="4">
        <f t="array" aca="1" ref="B6:H6" ca="1">INDEX(calendar,ndx+1)</f>
        <v>46362</v>
      </c>
      <c r="C6" s="4">
        <f ca="1"/>
        <v>46363</v>
      </c>
      <c r="D6" s="4">
        <f ca="1"/>
        <v>46364</v>
      </c>
      <c r="E6" s="4">
        <f ca="1"/>
        <v>46365</v>
      </c>
      <c r="F6" s="4">
        <f ca="1"/>
        <v>46366</v>
      </c>
      <c r="G6" s="4">
        <f ca="1"/>
        <v>46367</v>
      </c>
      <c r="H6" s="4">
        <f ca="1"/>
        <v>46368</v>
      </c>
    </row>
    <row r="7" spans="2:8" ht="51" customHeight="1" x14ac:dyDescent="0.2">
      <c r="B7" s="6"/>
      <c r="C7" s="5"/>
      <c r="D7" s="5" t="s">
        <v>16</v>
      </c>
      <c r="E7" s="5" t="s">
        <v>29</v>
      </c>
      <c r="F7" s="5" t="s">
        <v>29</v>
      </c>
      <c r="G7" s="5" t="s">
        <v>38</v>
      </c>
      <c r="H7" s="5" t="s">
        <v>30</v>
      </c>
    </row>
    <row r="8" spans="2:8" ht="24" customHeight="1" x14ac:dyDescent="0.2">
      <c r="B8" s="4">
        <f t="array" aca="1" ref="B8:H8" ca="1">INDEX(calendar,ndx+2)</f>
        <v>46369</v>
      </c>
      <c r="C8" s="4">
        <f ca="1"/>
        <v>46370</v>
      </c>
      <c r="D8" s="4">
        <f ca="1"/>
        <v>46371</v>
      </c>
      <c r="E8" s="4">
        <f ca="1"/>
        <v>46372</v>
      </c>
      <c r="F8" s="4">
        <f ca="1"/>
        <v>46373</v>
      </c>
      <c r="G8" s="4">
        <f ca="1"/>
        <v>46374</v>
      </c>
      <c r="H8" s="4">
        <f ca="1"/>
        <v>46375</v>
      </c>
    </row>
    <row r="9" spans="2:8" ht="51" customHeight="1" x14ac:dyDescent="0.2">
      <c r="B9" s="6" t="s">
        <v>29</v>
      </c>
      <c r="C9" s="5" t="s">
        <v>29</v>
      </c>
      <c r="D9" s="5" t="s">
        <v>29</v>
      </c>
      <c r="E9" s="5" t="s">
        <v>29</v>
      </c>
      <c r="F9" s="5" t="s">
        <v>29</v>
      </c>
      <c r="G9" s="5"/>
      <c r="H9" s="5"/>
    </row>
    <row r="10" spans="2:8" ht="24" customHeight="1" x14ac:dyDescent="0.2">
      <c r="B10" s="4">
        <f t="array" aca="1" ref="B10:H10" ca="1">INDEX(calendar,ndx+3)</f>
        <v>46376</v>
      </c>
      <c r="C10" s="4">
        <f ca="1"/>
        <v>46377</v>
      </c>
      <c r="D10" s="4">
        <f ca="1"/>
        <v>46378</v>
      </c>
      <c r="E10" s="4">
        <f ca="1"/>
        <v>46379</v>
      </c>
      <c r="F10" s="4">
        <f ca="1"/>
        <v>46380</v>
      </c>
      <c r="G10" s="4">
        <f ca="1"/>
        <v>46381</v>
      </c>
      <c r="H10" s="4">
        <f ca="1"/>
        <v>46382</v>
      </c>
    </row>
    <row r="11" spans="2:8" ht="51" customHeight="1" x14ac:dyDescent="0.2">
      <c r="B11" s="5" t="s">
        <v>35</v>
      </c>
      <c r="C11" s="5" t="s">
        <v>21</v>
      </c>
      <c r="D11" s="5" t="s">
        <v>32</v>
      </c>
      <c r="E11" s="5" t="s">
        <v>31</v>
      </c>
      <c r="F11" s="5" t="s">
        <v>37</v>
      </c>
      <c r="G11" s="5"/>
      <c r="H11" s="5"/>
    </row>
    <row r="12" spans="2:8" ht="24" customHeight="1" x14ac:dyDescent="0.2">
      <c r="B12" s="4">
        <f t="array" aca="1" ref="B12:H12" ca="1">INDEX(calendar,ndx+4)</f>
        <v>46383</v>
      </c>
      <c r="C12" s="4">
        <f ca="1"/>
        <v>46384</v>
      </c>
      <c r="D12" s="4">
        <f ca="1"/>
        <v>46385</v>
      </c>
      <c r="E12" s="4">
        <f ca="1"/>
        <v>46386</v>
      </c>
      <c r="F12" s="4">
        <f ca="1"/>
        <v>46387</v>
      </c>
      <c r="G12" s="4">
        <f ca="1"/>
        <v>46388</v>
      </c>
      <c r="H12" s="4">
        <f ca="1"/>
        <v>46389</v>
      </c>
    </row>
    <row r="13" spans="2:8" ht="51" customHeight="1" x14ac:dyDescent="0.2">
      <c r="B13" s="5"/>
      <c r="C13" s="6"/>
      <c r="D13" s="6" t="s">
        <v>39</v>
      </c>
      <c r="E13" s="6"/>
      <c r="F13" s="6"/>
      <c r="G13" s="5"/>
      <c r="H13" s="5"/>
    </row>
    <row r="14" spans="2:8" ht="23.25" customHeight="1" x14ac:dyDescent="0.2">
      <c r="B14" s="4">
        <f t="array" aca="1" ref="B14:H14" ca="1">INDEX(calendar,ndx+5)</f>
        <v>46390</v>
      </c>
      <c r="C14" s="4">
        <f ca="1"/>
        <v>46391</v>
      </c>
      <c r="D14" s="4">
        <f ca="1"/>
        <v>46392</v>
      </c>
      <c r="E14" s="4">
        <f ca="1"/>
        <v>46393</v>
      </c>
      <c r="F14" s="4">
        <f ca="1"/>
        <v>46394</v>
      </c>
      <c r="G14" s="4">
        <f ca="1"/>
        <v>46395</v>
      </c>
      <c r="H14" s="4">
        <f ca="1"/>
        <v>46396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21" priority="1">
      <formula>MonthToDisplayNumber&lt;&gt;MONTH(B4)</formula>
    </cfRule>
  </conditionalFormatting>
  <conditionalFormatting sqref="B6:H6">
    <cfRule type="expression" dxfId="220" priority="6">
      <formula>MonthToDisplayNumber&lt;&gt;MONTH(B6)</formula>
    </cfRule>
  </conditionalFormatting>
  <conditionalFormatting sqref="B8:H8">
    <cfRule type="expression" dxfId="219" priority="5">
      <formula>MonthToDisplayNumber&lt;&gt;MONTH(B8)</formula>
    </cfRule>
  </conditionalFormatting>
  <conditionalFormatting sqref="B10:H10">
    <cfRule type="expression" dxfId="218" priority="4">
      <formula>MonthToDisplayNumber&lt;&gt;MONTH(B10)</formula>
    </cfRule>
  </conditionalFormatting>
  <conditionalFormatting sqref="B12:H12">
    <cfRule type="expression" dxfId="217" priority="3">
      <formula>MonthToDisplayNumber&lt;&gt;MONTH(B12)</formula>
    </cfRule>
  </conditionalFormatting>
  <conditionalFormatting sqref="B14:H14">
    <cfRule type="expression" dxfId="21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1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100-000001000000}"/>
    <dataValidation allowBlank="1" showInputMessage="1" showErrorMessage="1" prompt="Rows 12 and 14 may contain dates for the following month if the end of this month concludes in either row" sqref="B12" xr:uid="{00000000-0002-0000-0100-000002000000}"/>
    <dataValidation allowBlank="1" showInputMessage="1" showErrorMessage="1" prompt="Enter daily notes in this cell. Rows 5, 7, 9, 11, 13 and 15 have cells beneath the day of the week for daily notes" sqref="B5" xr:uid="{00000000-0002-0000-0100-000003000000}"/>
    <dataValidation allowBlank="1" showInputMessage="1" showErrorMessage="1" prompt="Enter the year for this calendar month" sqref="B1" xr:uid="{00000000-0002-0000-01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1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1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1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9" sqref="E9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45655</v>
      </c>
      <c r="C3" s="2">
        <v>45656</v>
      </c>
      <c r="D3" s="2">
        <v>45657</v>
      </c>
      <c r="E3" s="2">
        <v>45658</v>
      </c>
      <c r="F3" s="2">
        <v>45659</v>
      </c>
      <c r="G3" s="2">
        <v>45660</v>
      </c>
      <c r="H3" s="2">
        <v>45661</v>
      </c>
    </row>
    <row r="4" spans="2:8" ht="24" customHeight="1" thickTop="1" x14ac:dyDescent="0.2">
      <c r="B4" s="3">
        <f t="array" ref="B4:H4">INDEX(calendar,ndx+0)</f>
        <v>45655</v>
      </c>
      <c r="C4" s="3">
        <v>45656</v>
      </c>
      <c r="D4" s="3">
        <v>45657</v>
      </c>
      <c r="E4" s="3">
        <v>45658</v>
      </c>
      <c r="F4" s="3">
        <v>45659</v>
      </c>
      <c r="G4" s="3">
        <v>45660</v>
      </c>
      <c r="H4" s="3">
        <v>45661</v>
      </c>
    </row>
    <row r="5" spans="2:8" ht="51" customHeight="1" x14ac:dyDescent="0.2">
      <c r="B5" s="6"/>
      <c r="C5" s="6"/>
      <c r="D5" s="6"/>
      <c r="E5" s="6" t="s">
        <v>34</v>
      </c>
      <c r="F5" s="6"/>
      <c r="G5" s="6"/>
      <c r="H5" s="6"/>
    </row>
    <row r="6" spans="2:8" ht="24" customHeight="1" x14ac:dyDescent="0.2">
      <c r="B6" s="4">
        <f t="array" ref="B6:H6">INDEX(calendar,ndx+1)</f>
        <v>45662</v>
      </c>
      <c r="C6" s="4">
        <v>45663</v>
      </c>
      <c r="D6" s="4">
        <v>45664</v>
      </c>
      <c r="E6" s="4">
        <v>45665</v>
      </c>
      <c r="F6" s="4">
        <v>45666</v>
      </c>
      <c r="G6" s="4">
        <v>45667</v>
      </c>
      <c r="H6" s="4">
        <v>45668</v>
      </c>
    </row>
    <row r="7" spans="2:8" ht="51" customHeight="1" x14ac:dyDescent="0.2">
      <c r="B7" s="6"/>
      <c r="C7" s="6"/>
      <c r="D7" s="6"/>
      <c r="E7" s="6"/>
      <c r="F7" s="6"/>
      <c r="G7" s="6"/>
      <c r="H7" s="5"/>
    </row>
    <row r="8" spans="2:8" ht="24" customHeight="1" x14ac:dyDescent="0.2">
      <c r="B8" s="4">
        <f t="array" ref="B8:H8">INDEX(calendar,ndx+2)</f>
        <v>45669</v>
      </c>
      <c r="C8" s="4">
        <v>45670</v>
      </c>
      <c r="D8" s="4">
        <v>45671</v>
      </c>
      <c r="E8" s="4">
        <v>45672</v>
      </c>
      <c r="F8" s="4">
        <v>45673</v>
      </c>
      <c r="G8" s="4">
        <v>45674</v>
      </c>
      <c r="H8" s="4">
        <v>45675</v>
      </c>
    </row>
    <row r="9" spans="2:8" ht="51" customHeight="1" x14ac:dyDescent="0.2">
      <c r="B9" s="6"/>
      <c r="C9" s="5"/>
      <c r="D9" s="5"/>
      <c r="E9" s="5" t="s">
        <v>33</v>
      </c>
      <c r="F9" s="5" t="s">
        <v>33</v>
      </c>
      <c r="G9" s="5" t="s">
        <v>33</v>
      </c>
      <c r="H9" s="5" t="s">
        <v>33</v>
      </c>
    </row>
    <row r="10" spans="2:8" ht="24" customHeight="1" x14ac:dyDescent="0.2">
      <c r="B10" s="4">
        <f t="array" ref="B10:H10">INDEX(calendar,ndx+3)</f>
        <v>45676</v>
      </c>
      <c r="C10" s="4">
        <v>45677</v>
      </c>
      <c r="D10" s="4">
        <v>45678</v>
      </c>
      <c r="E10" s="4">
        <v>45679</v>
      </c>
      <c r="F10" s="4">
        <v>45680</v>
      </c>
      <c r="G10" s="4">
        <v>45681</v>
      </c>
      <c r="H10" s="4">
        <v>45682</v>
      </c>
    </row>
    <row r="11" spans="2:8" ht="51" customHeight="1" x14ac:dyDescent="0.2"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</row>
    <row r="12" spans="2:8" ht="24" customHeight="1" x14ac:dyDescent="0.2">
      <c r="B12" s="4">
        <f t="array" ref="B12:H12">INDEX(calendar,ndx+4)</f>
        <v>45683</v>
      </c>
      <c r="C12" s="4">
        <v>45684</v>
      </c>
      <c r="D12" s="4">
        <v>45685</v>
      </c>
      <c r="E12" s="4">
        <v>45686</v>
      </c>
      <c r="F12" s="4">
        <v>45687</v>
      </c>
      <c r="G12" s="4">
        <v>45688</v>
      </c>
      <c r="H12" s="4">
        <v>45689</v>
      </c>
    </row>
    <row r="13" spans="2:8" ht="51" customHeight="1" x14ac:dyDescent="0.2">
      <c r="B13" s="5" t="s">
        <v>33</v>
      </c>
      <c r="C13" s="6" t="s">
        <v>41</v>
      </c>
      <c r="D13" s="6" t="s">
        <v>42</v>
      </c>
      <c r="E13" s="6" t="s">
        <v>20</v>
      </c>
      <c r="F13" s="5"/>
      <c r="G13" s="5"/>
      <c r="H13" s="5"/>
    </row>
    <row r="14" spans="2:8" ht="23.25" customHeight="1" x14ac:dyDescent="0.2">
      <c r="B14" s="4">
        <f t="array" ref="B14:H14">INDEX(calendar,ndx+5)</f>
        <v>45690</v>
      </c>
      <c r="C14" s="4">
        <v>45691</v>
      </c>
      <c r="D14" s="4">
        <v>45692</v>
      </c>
      <c r="E14" s="4">
        <v>45693</v>
      </c>
      <c r="F14" s="4">
        <v>45694</v>
      </c>
      <c r="G14" s="4">
        <v>45695</v>
      </c>
      <c r="H14" s="4">
        <v>45696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15" priority="1">
      <formula>MonthToDisplayNumber&lt;&gt;MONTH(B4)</formula>
    </cfRule>
  </conditionalFormatting>
  <conditionalFormatting sqref="B6:H6">
    <cfRule type="expression" dxfId="214" priority="6">
      <formula>MonthToDisplayNumber&lt;&gt;MONTH(B6)</formula>
    </cfRule>
  </conditionalFormatting>
  <conditionalFormatting sqref="B8:H8">
    <cfRule type="expression" dxfId="213" priority="5">
      <formula>MonthToDisplayNumber&lt;&gt;MONTH(B8)</formula>
    </cfRule>
  </conditionalFormatting>
  <conditionalFormatting sqref="B10:H10">
    <cfRule type="expression" dxfId="212" priority="4">
      <formula>MonthToDisplayNumber&lt;&gt;MONTH(B10)</formula>
    </cfRule>
  </conditionalFormatting>
  <conditionalFormatting sqref="B12:H12">
    <cfRule type="expression" dxfId="211" priority="3">
      <formula>MonthToDisplayNumber&lt;&gt;MONTH(B12)</formula>
    </cfRule>
  </conditionalFormatting>
  <conditionalFormatting sqref="B14:H14">
    <cfRule type="expression" dxfId="21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2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200-000001000000}"/>
    <dataValidation allowBlank="1" showInputMessage="1" showErrorMessage="1" prompt="Rows 12 and 14 may contain dates for the following month if the end of this month concludes in either row" sqref="B12" xr:uid="{00000000-0002-0000-0200-000002000000}"/>
    <dataValidation allowBlank="1" showInputMessage="1" showErrorMessage="1" prompt="Enter daily notes in this cell. Rows 5, 7, 9, 11, 13 and 15 have cells beneath the day of the week for daily notes" sqref="B5" xr:uid="{00000000-0002-0000-0200-000003000000}"/>
    <dataValidation allowBlank="1" showInputMessage="1" showErrorMessage="1" prompt="Enter the year for this calendar month" sqref="B1" xr:uid="{00000000-0002-0000-02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2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2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2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theme="4" tint="-0.499984740745262"/>
    <pageSetUpPr fitToPage="1"/>
  </sheetPr>
  <dimension ref="B1:H15"/>
  <sheetViews>
    <sheetView showGridLines="0" showRuler="0" zoomScaleNormal="100" workbookViewId="0">
      <selection activeCell="G13" sqref="G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7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45683</v>
      </c>
      <c r="C3" s="2">
        <v>45684</v>
      </c>
      <c r="D3" s="2">
        <v>45685</v>
      </c>
      <c r="E3" s="2">
        <v>45686</v>
      </c>
      <c r="F3" s="2">
        <v>45687</v>
      </c>
      <c r="G3" s="2">
        <v>45688</v>
      </c>
      <c r="H3" s="2">
        <v>45689</v>
      </c>
    </row>
    <row r="4" spans="2:8" ht="24" customHeight="1" thickTop="1" x14ac:dyDescent="0.2">
      <c r="B4" s="3">
        <f t="array" ref="B4:H4">INDEX(calendar,ndx+0)</f>
        <v>45683</v>
      </c>
      <c r="C4" s="3">
        <v>45684</v>
      </c>
      <c r="D4" s="3">
        <v>45685</v>
      </c>
      <c r="E4" s="3">
        <v>45686</v>
      </c>
      <c r="F4" s="3">
        <v>45687</v>
      </c>
      <c r="G4" s="3">
        <v>45688</v>
      </c>
      <c r="H4" s="3">
        <v>45689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45690</v>
      </c>
      <c r="C6" s="4">
        <v>45691</v>
      </c>
      <c r="D6" s="4">
        <v>45692</v>
      </c>
      <c r="E6" s="4">
        <v>45693</v>
      </c>
      <c r="F6" s="4">
        <v>45694</v>
      </c>
      <c r="G6" s="4">
        <v>45695</v>
      </c>
      <c r="H6" s="4">
        <v>45696</v>
      </c>
    </row>
    <row r="7" spans="2:8" ht="51" customHeight="1" x14ac:dyDescent="0.2">
      <c r="B7" s="6"/>
      <c r="C7" s="5"/>
      <c r="D7" s="5"/>
      <c r="E7" s="5"/>
      <c r="F7" s="5"/>
      <c r="G7" s="5" t="s">
        <v>51</v>
      </c>
      <c r="H7" s="5" t="s">
        <v>51</v>
      </c>
    </row>
    <row r="8" spans="2:8" ht="24" customHeight="1" x14ac:dyDescent="0.2">
      <c r="B8" s="4">
        <f t="array" ref="B8:H8">INDEX(calendar,ndx+2)</f>
        <v>45697</v>
      </c>
      <c r="C8" s="4">
        <v>45698</v>
      </c>
      <c r="D8" s="4">
        <v>45699</v>
      </c>
      <c r="E8" s="4">
        <v>45700</v>
      </c>
      <c r="F8" s="4">
        <v>45701</v>
      </c>
      <c r="G8" s="4">
        <v>45702</v>
      </c>
      <c r="H8" s="4">
        <v>45703</v>
      </c>
    </row>
    <row r="9" spans="2:8" ht="51" customHeight="1" x14ac:dyDescent="0.2">
      <c r="B9" s="6"/>
      <c r="C9" s="5"/>
      <c r="D9" s="5"/>
      <c r="E9" s="5"/>
      <c r="F9" s="5"/>
      <c r="G9" s="5" t="s">
        <v>18</v>
      </c>
      <c r="H9" s="5"/>
    </row>
    <row r="10" spans="2:8" ht="24" customHeight="1" x14ac:dyDescent="0.2">
      <c r="B10" s="4">
        <f t="array" ref="B10:H10">INDEX(calendar,ndx+3)</f>
        <v>45704</v>
      </c>
      <c r="C10" s="4">
        <v>45705</v>
      </c>
      <c r="D10" s="4">
        <v>45706</v>
      </c>
      <c r="E10" s="4">
        <v>45707</v>
      </c>
      <c r="F10" s="4">
        <v>45708</v>
      </c>
      <c r="G10" s="4">
        <v>45709</v>
      </c>
      <c r="H10" s="4">
        <v>45710</v>
      </c>
    </row>
    <row r="11" spans="2:8" ht="51" customHeight="1" x14ac:dyDescent="0.2">
      <c r="B11" s="5"/>
      <c r="C11" s="5"/>
      <c r="D11" s="5"/>
      <c r="E11" s="5"/>
      <c r="F11" s="5"/>
      <c r="G11" s="5"/>
      <c r="H11" s="5"/>
    </row>
    <row r="12" spans="2:8" ht="24" customHeight="1" x14ac:dyDescent="0.2">
      <c r="B12" s="4">
        <f t="array" ref="B12:H12">INDEX(calendar,ndx+4)</f>
        <v>45711</v>
      </c>
      <c r="C12" s="4">
        <v>45712</v>
      </c>
      <c r="D12" s="4">
        <v>45713</v>
      </c>
      <c r="E12" s="4">
        <v>45714</v>
      </c>
      <c r="F12" s="4">
        <v>45715</v>
      </c>
      <c r="G12" s="4">
        <v>45716</v>
      </c>
      <c r="H12" s="4">
        <v>45717</v>
      </c>
    </row>
    <row r="13" spans="2:8" ht="51" customHeight="1" x14ac:dyDescent="0.2">
      <c r="B13" s="5"/>
      <c r="C13" s="6"/>
      <c r="D13" s="6"/>
      <c r="E13" s="6" t="s">
        <v>48</v>
      </c>
      <c r="F13" s="5" t="s">
        <v>48</v>
      </c>
      <c r="G13" s="5" t="s">
        <v>50</v>
      </c>
      <c r="H13" s="5"/>
    </row>
    <row r="14" spans="2:8" ht="23.25" customHeight="1" x14ac:dyDescent="0.2">
      <c r="B14" s="4">
        <f t="array" ref="B14:H14">INDEX(calendar,ndx+5)</f>
        <v>45718</v>
      </c>
      <c r="C14" s="4">
        <v>45719</v>
      </c>
      <c r="D14" s="4">
        <v>45720</v>
      </c>
      <c r="E14" s="4">
        <v>45721</v>
      </c>
      <c r="F14" s="4">
        <v>45722</v>
      </c>
      <c r="G14" s="4">
        <v>45723</v>
      </c>
      <c r="H14" s="4">
        <v>45724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09" priority="1">
      <formula>MonthToDisplayNumber&lt;&gt;MONTH(B4)</formula>
    </cfRule>
  </conditionalFormatting>
  <conditionalFormatting sqref="B6:H6">
    <cfRule type="expression" dxfId="208" priority="6">
      <formula>MonthToDisplayNumber&lt;&gt;MONTH(B6)</formula>
    </cfRule>
  </conditionalFormatting>
  <conditionalFormatting sqref="B8:H8">
    <cfRule type="expression" dxfId="207" priority="5">
      <formula>MonthToDisplayNumber&lt;&gt;MONTH(B8)</formula>
    </cfRule>
  </conditionalFormatting>
  <conditionalFormatting sqref="B10:H10">
    <cfRule type="expression" dxfId="206" priority="4">
      <formula>MonthToDisplayNumber&lt;&gt;MONTH(B10)</formula>
    </cfRule>
  </conditionalFormatting>
  <conditionalFormatting sqref="B12:H12">
    <cfRule type="expression" dxfId="205" priority="3">
      <formula>MonthToDisplayNumber&lt;&gt;MONTH(B12)</formula>
    </cfRule>
  </conditionalFormatting>
  <conditionalFormatting sqref="B14:H14">
    <cfRule type="expression" dxfId="204" priority="2">
      <formula>MonthToDisplayNumber&lt;&gt;MONTH(B14)</formula>
    </cfRule>
  </conditionalFormatting>
  <dataValidations count="8"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300-000000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300-000001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300-000002000000}"/>
    <dataValidation allowBlank="1" showInputMessage="1" showErrorMessage="1" prompt="Enter the year for this calendar month" sqref="B1" xr:uid="{00000000-0002-0000-0300-000003000000}"/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300-000004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300-000005000000}"/>
    <dataValidation allowBlank="1" showInputMessage="1" showErrorMessage="1" prompt="Enter daily notes in this cell. Rows 5, 7, 9, 11, 13 and 15 have cells beneath the day of the week for daily notes" sqref="B5" xr:uid="{00000000-0002-0000-0300-000006000000}"/>
    <dataValidation allowBlank="1" showInputMessage="1" showErrorMessage="1" prompt="Rows 12 and 14 may contain dates for the following month if the end of this month concludes in either row" sqref="B12" xr:uid="{00000000-0002-0000-03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H7" sqref="H7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8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45711</v>
      </c>
      <c r="C3" s="2">
        <v>45712</v>
      </c>
      <c r="D3" s="2">
        <v>45713</v>
      </c>
      <c r="E3" s="2">
        <v>45714</v>
      </c>
      <c r="F3" s="2">
        <v>45715</v>
      </c>
      <c r="G3" s="2">
        <v>45716</v>
      </c>
      <c r="H3" s="2">
        <v>45717</v>
      </c>
    </row>
    <row r="4" spans="2:8" ht="24" customHeight="1" thickTop="1" x14ac:dyDescent="0.2">
      <c r="B4" s="3">
        <f t="array" ref="B4:H4">INDEX(calendar,ndx+0)</f>
        <v>45711</v>
      </c>
      <c r="C4" s="3">
        <v>45712</v>
      </c>
      <c r="D4" s="3">
        <v>45713</v>
      </c>
      <c r="E4" s="3">
        <v>45714</v>
      </c>
      <c r="F4" s="3">
        <v>45715</v>
      </c>
      <c r="G4" s="3">
        <v>45716</v>
      </c>
      <c r="H4" s="3">
        <v>45717</v>
      </c>
    </row>
    <row r="5" spans="2:8" ht="51" customHeight="1" x14ac:dyDescent="0.2">
      <c r="B5" s="6"/>
      <c r="C5" s="6"/>
      <c r="D5" s="6"/>
      <c r="E5" s="6"/>
      <c r="F5" s="6"/>
      <c r="G5" s="6"/>
      <c r="H5" s="5" t="s">
        <v>36</v>
      </c>
    </row>
    <row r="6" spans="2:8" ht="24" customHeight="1" x14ac:dyDescent="0.2">
      <c r="B6" s="4">
        <f t="array" ref="B6:H6">INDEX(calendar,ndx+1)</f>
        <v>45718</v>
      </c>
      <c r="C6" s="4">
        <v>45719</v>
      </c>
      <c r="D6" s="4">
        <v>45720</v>
      </c>
      <c r="E6" s="4">
        <v>45721</v>
      </c>
      <c r="F6" s="4">
        <v>45722</v>
      </c>
      <c r="G6" s="4">
        <v>45723</v>
      </c>
      <c r="H6" s="4">
        <v>45724</v>
      </c>
    </row>
    <row r="7" spans="2:8" ht="51" customHeight="1" x14ac:dyDescent="0.2">
      <c r="B7" s="6" t="s">
        <v>36</v>
      </c>
      <c r="C7" s="5" t="s">
        <v>45</v>
      </c>
      <c r="D7" s="5" t="s">
        <v>46</v>
      </c>
      <c r="E7" s="5" t="s">
        <v>36</v>
      </c>
      <c r="F7" s="5" t="s">
        <v>36</v>
      </c>
      <c r="G7" s="5" t="s">
        <v>49</v>
      </c>
      <c r="H7" s="5" t="s">
        <v>43</v>
      </c>
    </row>
    <row r="8" spans="2:8" ht="24" customHeight="1" x14ac:dyDescent="0.2">
      <c r="B8" s="4">
        <f t="array" ref="B8:H8">INDEX(calendar,ndx+2)</f>
        <v>45725</v>
      </c>
      <c r="C8" s="4">
        <v>45726</v>
      </c>
      <c r="D8" s="4">
        <v>45727</v>
      </c>
      <c r="E8" s="4">
        <v>45728</v>
      </c>
      <c r="F8" s="4">
        <v>45729</v>
      </c>
      <c r="G8" s="4">
        <v>45730</v>
      </c>
      <c r="H8" s="4">
        <v>45731</v>
      </c>
    </row>
    <row r="9" spans="2:8" ht="51" customHeight="1" x14ac:dyDescent="0.2">
      <c r="B9" s="5" t="s">
        <v>43</v>
      </c>
      <c r="C9" s="5" t="s">
        <v>44</v>
      </c>
      <c r="D9" s="5" t="s">
        <v>44</v>
      </c>
      <c r="E9" s="5" t="s">
        <v>44</v>
      </c>
      <c r="F9" s="5" t="s">
        <v>19</v>
      </c>
      <c r="G9" s="5" t="s">
        <v>19</v>
      </c>
      <c r="H9" s="5"/>
    </row>
    <row r="10" spans="2:8" ht="24" customHeight="1" x14ac:dyDescent="0.2">
      <c r="B10" s="4">
        <f t="array" ref="B10:H10">INDEX(calendar,ndx+3)</f>
        <v>45732</v>
      </c>
      <c r="C10" s="4">
        <v>45733</v>
      </c>
      <c r="D10" s="4">
        <v>45734</v>
      </c>
      <c r="E10" s="4">
        <v>45735</v>
      </c>
      <c r="F10" s="4">
        <v>45736</v>
      </c>
      <c r="G10" s="4">
        <v>45737</v>
      </c>
      <c r="H10" s="4">
        <v>45738</v>
      </c>
    </row>
    <row r="11" spans="2:8" ht="51" customHeight="1" x14ac:dyDescent="0.2">
      <c r="B11" s="5" t="s">
        <v>59</v>
      </c>
      <c r="C11" s="5" t="s">
        <v>19</v>
      </c>
      <c r="D11" s="5" t="s">
        <v>19</v>
      </c>
      <c r="E11" s="5" t="s">
        <v>47</v>
      </c>
      <c r="F11" s="5" t="s">
        <v>47</v>
      </c>
      <c r="G11" s="5" t="s">
        <v>19</v>
      </c>
      <c r="H11" s="5"/>
    </row>
    <row r="12" spans="2:8" ht="24" customHeight="1" x14ac:dyDescent="0.2">
      <c r="B12" s="4">
        <f t="array" ref="B12:H12">INDEX(calendar,ndx+4)</f>
        <v>45739</v>
      </c>
      <c r="C12" s="4">
        <v>45740</v>
      </c>
      <c r="D12" s="4">
        <v>45741</v>
      </c>
      <c r="E12" s="4">
        <v>45742</v>
      </c>
      <c r="F12" s="4">
        <v>45743</v>
      </c>
      <c r="G12" s="4">
        <v>45744</v>
      </c>
      <c r="H12" s="4">
        <v>45745</v>
      </c>
    </row>
    <row r="13" spans="2:8" ht="51" customHeight="1" x14ac:dyDescent="0.2">
      <c r="B13" s="5"/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17</v>
      </c>
      <c r="H13" s="5"/>
    </row>
    <row r="14" spans="2:8" ht="23.25" customHeight="1" x14ac:dyDescent="0.2">
      <c r="B14" s="4">
        <f t="array" ref="B14:H14">INDEX(calendar,ndx+5)</f>
        <v>45746</v>
      </c>
      <c r="C14" s="4">
        <v>45747</v>
      </c>
      <c r="D14" s="4">
        <v>45748</v>
      </c>
      <c r="E14" s="4">
        <v>45749</v>
      </c>
      <c r="F14" s="4">
        <v>45750</v>
      </c>
      <c r="G14" s="4">
        <v>45751</v>
      </c>
      <c r="H14" s="4">
        <v>45752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03" priority="1">
      <formula>MonthToDisplayNumber&lt;&gt;MONTH(B4)</formula>
    </cfRule>
  </conditionalFormatting>
  <conditionalFormatting sqref="B6:H6">
    <cfRule type="expression" dxfId="202" priority="6">
      <formula>MonthToDisplayNumber&lt;&gt;MONTH(B6)</formula>
    </cfRule>
  </conditionalFormatting>
  <conditionalFormatting sqref="B8:H8">
    <cfRule type="expression" dxfId="201" priority="5">
      <formula>MonthToDisplayNumber&lt;&gt;MONTH(B8)</formula>
    </cfRule>
  </conditionalFormatting>
  <conditionalFormatting sqref="B10:H10">
    <cfRule type="expression" dxfId="200" priority="4">
      <formula>MonthToDisplayNumber&lt;&gt;MONTH(B10)</formula>
    </cfRule>
  </conditionalFormatting>
  <conditionalFormatting sqref="B12:H12">
    <cfRule type="expression" dxfId="199" priority="3">
      <formula>MonthToDisplayNumber&lt;&gt;MONTH(B12)</formula>
    </cfRule>
  </conditionalFormatting>
  <conditionalFormatting sqref="B14:H14">
    <cfRule type="expression" dxfId="19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4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400-000001000000}"/>
    <dataValidation allowBlank="1" showInputMessage="1" showErrorMessage="1" prompt="Rows 12 and 14 may contain dates for the following month if the end of this month concludes in either row" sqref="B12" xr:uid="{00000000-0002-0000-0400-000002000000}"/>
    <dataValidation allowBlank="1" showInputMessage="1" showErrorMessage="1" prompt="Enter daily notes in this cell. Rows 5, 7, 9, 11, 13 and 15 have cells beneath the day of the week for daily notes" sqref="B5" xr:uid="{00000000-0002-0000-0400-000003000000}"/>
    <dataValidation allowBlank="1" showInputMessage="1" showErrorMessage="1" prompt="Enter the year for this calendar month" sqref="B1" xr:uid="{00000000-0002-0000-04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4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4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4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2" sqref="C12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9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45746</v>
      </c>
      <c r="C3" s="2">
        <v>45747</v>
      </c>
      <c r="D3" s="2">
        <v>45748</v>
      </c>
      <c r="E3" s="2">
        <v>45749</v>
      </c>
      <c r="F3" s="2">
        <v>45750</v>
      </c>
      <c r="G3" s="2">
        <v>45751</v>
      </c>
      <c r="H3" s="2">
        <v>45752</v>
      </c>
    </row>
    <row r="4" spans="2:8" ht="24" customHeight="1" thickTop="1" x14ac:dyDescent="0.2">
      <c r="B4" s="3">
        <f t="array" ref="B4:H4">INDEX(calendar,ndx+0)</f>
        <v>45746</v>
      </c>
      <c r="C4" s="3">
        <v>45747</v>
      </c>
      <c r="D4" s="3">
        <v>45748</v>
      </c>
      <c r="E4" s="3">
        <v>45749</v>
      </c>
      <c r="F4" s="3">
        <v>45750</v>
      </c>
      <c r="G4" s="3">
        <v>45751</v>
      </c>
      <c r="H4" s="3">
        <v>45752</v>
      </c>
    </row>
    <row r="5" spans="2:8" ht="51" customHeight="1" x14ac:dyDescent="0.2">
      <c r="B5" s="6"/>
      <c r="C5" s="6"/>
      <c r="D5" s="6"/>
      <c r="E5" s="6" t="s">
        <v>57</v>
      </c>
      <c r="F5" s="6"/>
      <c r="G5" s="6"/>
      <c r="H5" s="6" t="s">
        <v>56</v>
      </c>
    </row>
    <row r="6" spans="2:8" ht="24" customHeight="1" x14ac:dyDescent="0.2">
      <c r="B6" s="4">
        <f t="array" ref="B6:H6">INDEX(calendar,ndx+1)</f>
        <v>45753</v>
      </c>
      <c r="C6" s="4">
        <v>45754</v>
      </c>
      <c r="D6" s="4">
        <v>45755</v>
      </c>
      <c r="E6" s="4">
        <v>45756</v>
      </c>
      <c r="F6" s="4">
        <v>45757</v>
      </c>
      <c r="G6" s="4">
        <v>45758</v>
      </c>
      <c r="H6" s="4">
        <v>45759</v>
      </c>
    </row>
    <row r="7" spans="2:8" ht="51" customHeight="1" x14ac:dyDescent="0.2">
      <c r="B7" s="5" t="s">
        <v>56</v>
      </c>
      <c r="C7" s="5" t="s">
        <v>55</v>
      </c>
      <c r="D7" s="5" t="s">
        <v>55</v>
      </c>
      <c r="E7" s="5" t="s">
        <v>68</v>
      </c>
      <c r="F7" s="5" t="s">
        <v>55</v>
      </c>
      <c r="G7" s="5" t="s">
        <v>58</v>
      </c>
      <c r="H7" s="5" t="s">
        <v>52</v>
      </c>
    </row>
    <row r="8" spans="2:8" ht="24" customHeight="1" x14ac:dyDescent="0.2">
      <c r="B8" s="4">
        <f t="array" ref="B8:H8">INDEX(calendar,ndx+2)</f>
        <v>45760</v>
      </c>
      <c r="C8" s="4">
        <v>45761</v>
      </c>
      <c r="D8" s="4">
        <v>45762</v>
      </c>
      <c r="E8" s="4">
        <v>45763</v>
      </c>
      <c r="F8" s="4">
        <v>45764</v>
      </c>
      <c r="G8" s="4">
        <v>45765</v>
      </c>
      <c r="H8" s="4">
        <v>45766</v>
      </c>
    </row>
    <row r="9" spans="2:8" ht="51" customHeight="1" x14ac:dyDescent="0.2">
      <c r="B9" s="5" t="s">
        <v>52</v>
      </c>
      <c r="C9" s="5" t="s">
        <v>53</v>
      </c>
      <c r="D9" s="5" t="s">
        <v>53</v>
      </c>
      <c r="E9" s="5" t="s">
        <v>53</v>
      </c>
      <c r="F9" s="5" t="s">
        <v>53</v>
      </c>
      <c r="G9" s="5" t="s">
        <v>53</v>
      </c>
      <c r="H9" s="5" t="s">
        <v>52</v>
      </c>
    </row>
    <row r="10" spans="2:8" ht="24" customHeight="1" x14ac:dyDescent="0.2">
      <c r="B10" s="4">
        <f t="array" ref="B10:H10">INDEX(calendar,ndx+3)</f>
        <v>45767</v>
      </c>
      <c r="C10" s="4">
        <v>45768</v>
      </c>
      <c r="D10" s="4">
        <v>45769</v>
      </c>
      <c r="E10" s="4">
        <v>45770</v>
      </c>
      <c r="F10" s="4">
        <v>45771</v>
      </c>
      <c r="G10" s="4">
        <v>45772</v>
      </c>
      <c r="H10" s="4">
        <v>45773</v>
      </c>
    </row>
    <row r="11" spans="2:8" ht="51" customHeight="1" x14ac:dyDescent="0.2">
      <c r="B11" s="5" t="s">
        <v>52</v>
      </c>
      <c r="C11" s="5"/>
      <c r="D11" s="5"/>
      <c r="E11" s="5" t="s">
        <v>69</v>
      </c>
      <c r="F11" s="5"/>
      <c r="G11" s="5"/>
      <c r="H11" s="5" t="s">
        <v>64</v>
      </c>
    </row>
    <row r="12" spans="2:8" ht="24" customHeight="1" x14ac:dyDescent="0.2">
      <c r="B12" s="4">
        <f t="array" ref="B12:H12">INDEX(calendar,ndx+4)</f>
        <v>45774</v>
      </c>
      <c r="C12" s="4">
        <v>45775</v>
      </c>
      <c r="D12" s="4">
        <v>45776</v>
      </c>
      <c r="E12" s="4">
        <v>45777</v>
      </c>
      <c r="F12" s="4">
        <v>45778</v>
      </c>
      <c r="G12" s="4">
        <v>45779</v>
      </c>
      <c r="H12" s="4">
        <v>45780</v>
      </c>
    </row>
    <row r="13" spans="2:8" ht="51" customHeight="1" x14ac:dyDescent="0.2">
      <c r="B13" s="5" t="s">
        <v>65</v>
      </c>
      <c r="C13" s="6" t="s">
        <v>69</v>
      </c>
      <c r="D13" s="6"/>
      <c r="E13" s="6" t="s">
        <v>62</v>
      </c>
      <c r="F13" s="5"/>
      <c r="G13" s="5"/>
      <c r="H13" s="5"/>
    </row>
    <row r="14" spans="2:8" ht="23.25" customHeight="1" x14ac:dyDescent="0.2">
      <c r="B14" s="4">
        <f t="array" ref="B14:H14">INDEX(calendar,ndx+5)</f>
        <v>45781</v>
      </c>
      <c r="C14" s="4">
        <v>45782</v>
      </c>
      <c r="D14" s="4">
        <v>45783</v>
      </c>
      <c r="E14" s="4">
        <v>45784</v>
      </c>
      <c r="F14" s="4">
        <v>45785</v>
      </c>
      <c r="G14" s="4">
        <v>45786</v>
      </c>
      <c r="H14" s="4">
        <v>45787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97" priority="1">
      <formula>MonthToDisplayNumber&lt;&gt;MONTH(B4)</formula>
    </cfRule>
  </conditionalFormatting>
  <conditionalFormatting sqref="B6:H6">
    <cfRule type="expression" dxfId="196" priority="6">
      <formula>MonthToDisplayNumber&lt;&gt;MONTH(B6)</formula>
    </cfRule>
  </conditionalFormatting>
  <conditionalFormatting sqref="B8:H8">
    <cfRule type="expression" dxfId="195" priority="5">
      <formula>MonthToDisplayNumber&lt;&gt;MONTH(B8)</formula>
    </cfRule>
  </conditionalFormatting>
  <conditionalFormatting sqref="B10:H10">
    <cfRule type="expression" dxfId="194" priority="4">
      <formula>MonthToDisplayNumber&lt;&gt;MONTH(B10)</formula>
    </cfRule>
  </conditionalFormatting>
  <conditionalFormatting sqref="B12:H12">
    <cfRule type="expression" dxfId="193" priority="3">
      <formula>MonthToDisplayNumber&lt;&gt;MONTH(B12)</formula>
    </cfRule>
  </conditionalFormatting>
  <conditionalFormatting sqref="B14:H14">
    <cfRule type="expression" dxfId="19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5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500-000001000000}"/>
    <dataValidation allowBlank="1" showInputMessage="1" showErrorMessage="1" prompt="Rows 12 and 14 may contain dates for the following month if the end of this month concludes in either row" sqref="B12" xr:uid="{00000000-0002-0000-05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5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5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500-000005000000}"/>
    <dataValidation allowBlank="1" showInputMessage="1" showErrorMessage="1" prompt="Enter the year for this calendar month" sqref="B1" xr:uid="{00000000-0002-0000-0500-000006000000}"/>
    <dataValidation allowBlank="1" showInputMessage="1" showErrorMessage="1" prompt="Enter daily notes in this cell. Rows 5, 7, 9, 11, 13 and 15 have cells beneath the day of the week for daily notes" sqref="B5" xr:uid="{00000000-0002-0000-0500-000007000000}"/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15" sqref="E15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10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45774</v>
      </c>
      <c r="C3" s="2">
        <v>45775</v>
      </c>
      <c r="D3" s="2">
        <v>45776</v>
      </c>
      <c r="E3" s="2">
        <v>45777</v>
      </c>
      <c r="F3" s="2">
        <v>45778</v>
      </c>
      <c r="G3" s="2">
        <v>45779</v>
      </c>
      <c r="H3" s="2">
        <v>45780</v>
      </c>
    </row>
    <row r="4" spans="2:8" ht="24" customHeight="1" thickTop="1" x14ac:dyDescent="0.2">
      <c r="B4" s="3">
        <f t="array" ref="B4:H4">INDEX(calendar,ndx+0)</f>
        <v>45774</v>
      </c>
      <c r="C4" s="3">
        <v>45775</v>
      </c>
      <c r="D4" s="3">
        <v>45776</v>
      </c>
      <c r="E4" s="3">
        <v>45777</v>
      </c>
      <c r="F4" s="3">
        <v>45778</v>
      </c>
      <c r="G4" s="3">
        <v>45779</v>
      </c>
      <c r="H4" s="3">
        <v>45780</v>
      </c>
    </row>
    <row r="5" spans="2:8" ht="51" customHeight="1" x14ac:dyDescent="0.2">
      <c r="B5" s="6"/>
      <c r="C5" s="6"/>
      <c r="D5" s="6"/>
      <c r="E5" s="6"/>
      <c r="F5" s="6" t="s">
        <v>62</v>
      </c>
      <c r="G5" s="6" t="s">
        <v>62</v>
      </c>
      <c r="H5" s="6" t="s">
        <v>76</v>
      </c>
    </row>
    <row r="6" spans="2:8" ht="24" customHeight="1" x14ac:dyDescent="0.2">
      <c r="B6" s="4">
        <f t="array" ref="B6:H6">INDEX(calendar,ndx+1)</f>
        <v>45781</v>
      </c>
      <c r="C6" s="4">
        <v>45782</v>
      </c>
      <c r="D6" s="4">
        <v>45783</v>
      </c>
      <c r="E6" s="4">
        <v>45784</v>
      </c>
      <c r="F6" s="4">
        <v>45785</v>
      </c>
      <c r="G6" s="4">
        <v>45786</v>
      </c>
      <c r="H6" s="4">
        <v>45787</v>
      </c>
    </row>
    <row r="7" spans="2:8" ht="51" customHeight="1" x14ac:dyDescent="0.2">
      <c r="B7" s="6" t="s">
        <v>76</v>
      </c>
      <c r="C7" s="5" t="s">
        <v>76</v>
      </c>
      <c r="D7" s="5" t="s">
        <v>76</v>
      </c>
      <c r="E7" s="5" t="s">
        <v>77</v>
      </c>
      <c r="F7" s="5" t="s">
        <v>78</v>
      </c>
      <c r="G7" s="5" t="s">
        <v>79</v>
      </c>
      <c r="H7" s="5" t="s">
        <v>80</v>
      </c>
    </row>
    <row r="8" spans="2:8" ht="24" customHeight="1" x14ac:dyDescent="0.2">
      <c r="B8" s="4">
        <f t="array" ref="B8:H8">INDEX(calendar,ndx+2)</f>
        <v>45788</v>
      </c>
      <c r="C8" s="4">
        <v>45789</v>
      </c>
      <c r="D8" s="4">
        <v>45790</v>
      </c>
      <c r="E8" s="4">
        <v>45791</v>
      </c>
      <c r="F8" s="4">
        <v>45792</v>
      </c>
      <c r="G8" s="4">
        <v>45793</v>
      </c>
      <c r="H8" s="4">
        <v>45794</v>
      </c>
    </row>
    <row r="9" spans="2:8" ht="51" customHeight="1" x14ac:dyDescent="0.2">
      <c r="B9" s="6" t="s">
        <v>81</v>
      </c>
      <c r="C9" s="5" t="s">
        <v>87</v>
      </c>
      <c r="D9" s="5" t="s">
        <v>88</v>
      </c>
      <c r="E9" s="5" t="s">
        <v>89</v>
      </c>
      <c r="F9" s="5" t="s">
        <v>90</v>
      </c>
      <c r="G9" s="5" t="s">
        <v>91</v>
      </c>
      <c r="H9" s="5" t="s">
        <v>88</v>
      </c>
    </row>
    <row r="10" spans="2:8" ht="24" customHeight="1" x14ac:dyDescent="0.2">
      <c r="B10" s="4">
        <f t="array" ref="B10:H10">INDEX(calendar,ndx+3)</f>
        <v>45795</v>
      </c>
      <c r="C10" s="4">
        <v>45796</v>
      </c>
      <c r="D10" s="4">
        <v>45797</v>
      </c>
      <c r="E10" s="4">
        <v>45798</v>
      </c>
      <c r="F10" s="4">
        <v>45799</v>
      </c>
      <c r="G10" s="4">
        <v>45800</v>
      </c>
      <c r="H10" s="4">
        <v>45801</v>
      </c>
    </row>
    <row r="11" spans="2:8" ht="51" customHeight="1" x14ac:dyDescent="0.2">
      <c r="B11" s="5" t="s">
        <v>92</v>
      </c>
      <c r="C11" s="5" t="s">
        <v>82</v>
      </c>
      <c r="D11" s="5" t="s">
        <v>76</v>
      </c>
      <c r="E11" s="5" t="s">
        <v>76</v>
      </c>
      <c r="F11" s="5" t="s">
        <v>76</v>
      </c>
      <c r="G11" s="5" t="s">
        <v>83</v>
      </c>
      <c r="H11" s="5" t="s">
        <v>76</v>
      </c>
    </row>
    <row r="12" spans="2:8" ht="24" customHeight="1" x14ac:dyDescent="0.2">
      <c r="B12" s="4">
        <f t="array" ref="B12:H12">INDEX(calendar,ndx+4)</f>
        <v>45802</v>
      </c>
      <c r="C12" s="4">
        <v>45803</v>
      </c>
      <c r="D12" s="4">
        <v>45804</v>
      </c>
      <c r="E12" s="4">
        <v>45805</v>
      </c>
      <c r="F12" s="4">
        <v>45806</v>
      </c>
      <c r="G12" s="4">
        <v>45807</v>
      </c>
      <c r="H12" s="4">
        <v>45808</v>
      </c>
    </row>
    <row r="13" spans="2:8" ht="51" customHeight="1" x14ac:dyDescent="0.2">
      <c r="B13" s="5" t="s">
        <v>96</v>
      </c>
      <c r="C13" s="6" t="s">
        <v>76</v>
      </c>
      <c r="D13" s="6" t="s">
        <v>76</v>
      </c>
      <c r="E13" s="6" t="s">
        <v>76</v>
      </c>
      <c r="F13" s="5" t="s">
        <v>106</v>
      </c>
      <c r="G13" s="5" t="s">
        <v>106</v>
      </c>
      <c r="H13" s="5" t="s">
        <v>106</v>
      </c>
    </row>
    <row r="14" spans="2:8" ht="23.25" customHeight="1" x14ac:dyDescent="0.2">
      <c r="B14" s="4">
        <f t="array" ref="B14:H14">INDEX(calendar,ndx+5)</f>
        <v>45809</v>
      </c>
      <c r="C14" s="4">
        <v>45810</v>
      </c>
      <c r="D14" s="4">
        <v>45811</v>
      </c>
      <c r="E14" s="4">
        <v>45812</v>
      </c>
      <c r="F14" s="4">
        <v>45813</v>
      </c>
      <c r="G14" s="4">
        <v>45814</v>
      </c>
      <c r="H14" s="4">
        <v>45815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91" priority="1">
      <formula>MonthToDisplayNumber&lt;&gt;MONTH(B4)</formula>
    </cfRule>
  </conditionalFormatting>
  <conditionalFormatting sqref="B6:H6">
    <cfRule type="expression" dxfId="190" priority="6">
      <formula>MonthToDisplayNumber&lt;&gt;MONTH(B6)</formula>
    </cfRule>
  </conditionalFormatting>
  <conditionalFormatting sqref="B8:H8">
    <cfRule type="expression" dxfId="189" priority="5">
      <formula>MonthToDisplayNumber&lt;&gt;MONTH(B8)</formula>
    </cfRule>
  </conditionalFormatting>
  <conditionalFormatting sqref="B10:H10">
    <cfRule type="expression" dxfId="188" priority="4">
      <formula>MonthToDisplayNumber&lt;&gt;MONTH(B10)</formula>
    </cfRule>
  </conditionalFormatting>
  <conditionalFormatting sqref="B12:H12">
    <cfRule type="expression" dxfId="187" priority="3">
      <formula>MonthToDisplayNumber&lt;&gt;MONTH(B12)</formula>
    </cfRule>
  </conditionalFormatting>
  <conditionalFormatting sqref="B14:H14">
    <cfRule type="expression" dxfId="18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6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600-000001000000}"/>
    <dataValidation allowBlank="1" showInputMessage="1" showErrorMessage="1" prompt="Rows 12 and 14 may contain dates for the following month if the end of this month concludes in either row" sqref="B12" xr:uid="{00000000-0002-0000-0600-000002000000}"/>
    <dataValidation allowBlank="1" showInputMessage="1" showErrorMessage="1" prompt="Enter daily notes in this cell. Rows 5, 7, 9, 11, 13 and 15 have cells beneath the day of the week for daily notes" sqref="B5" xr:uid="{00000000-0002-0000-0600-000003000000}"/>
    <dataValidation allowBlank="1" showInputMessage="1" showErrorMessage="1" prompt="Enter the year for this calendar month" sqref="B1" xr:uid="{00000000-0002-0000-06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6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6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6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K13" sqref="K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45809</v>
      </c>
      <c r="C3" s="2">
        <v>45810</v>
      </c>
      <c r="D3" s="2">
        <v>45811</v>
      </c>
      <c r="E3" s="2">
        <v>45812</v>
      </c>
      <c r="F3" s="2">
        <v>45813</v>
      </c>
      <c r="G3" s="2">
        <v>45814</v>
      </c>
      <c r="H3" s="2">
        <v>45815</v>
      </c>
    </row>
    <row r="4" spans="2:8" ht="24" customHeight="1" thickTop="1" x14ac:dyDescent="0.2">
      <c r="B4" s="3">
        <f t="array" ref="B4:H4">INDEX(calendar,ndx+0)</f>
        <v>45809</v>
      </c>
      <c r="C4" s="3">
        <v>45810</v>
      </c>
      <c r="D4" s="3">
        <v>45811</v>
      </c>
      <c r="E4" s="3">
        <v>45812</v>
      </c>
      <c r="F4" s="3">
        <v>45813</v>
      </c>
      <c r="G4" s="3">
        <v>45814</v>
      </c>
      <c r="H4" s="3">
        <v>45815</v>
      </c>
    </row>
    <row r="5" spans="2:8" ht="51" customHeight="1" x14ac:dyDescent="0.2">
      <c r="B5" s="6" t="s">
        <v>105</v>
      </c>
      <c r="C5" s="6" t="s">
        <v>104</v>
      </c>
      <c r="D5" s="6" t="s">
        <v>103</v>
      </c>
      <c r="E5" s="6" t="s">
        <v>102</v>
      </c>
      <c r="F5" s="6" t="s">
        <v>101</v>
      </c>
      <c r="G5" s="6" t="s">
        <v>100</v>
      </c>
      <c r="H5" s="6" t="s">
        <v>67</v>
      </c>
    </row>
    <row r="6" spans="2:8" ht="24" customHeight="1" x14ac:dyDescent="0.2">
      <c r="B6" s="4">
        <f t="array" ref="B6:H6">INDEX(calendar,ndx+1)</f>
        <v>45816</v>
      </c>
      <c r="C6" s="4">
        <v>45817</v>
      </c>
      <c r="D6" s="4">
        <v>45818</v>
      </c>
      <c r="E6" s="4">
        <v>45819</v>
      </c>
      <c r="F6" s="4">
        <v>45820</v>
      </c>
      <c r="G6" s="4">
        <v>45821</v>
      </c>
      <c r="H6" s="4">
        <v>45822</v>
      </c>
    </row>
    <row r="7" spans="2:8" ht="51" customHeight="1" x14ac:dyDescent="0.2">
      <c r="B7" s="6" t="s">
        <v>74</v>
      </c>
      <c r="C7" s="6" t="s">
        <v>94</v>
      </c>
      <c r="D7" s="6" t="s">
        <v>66</v>
      </c>
      <c r="E7" s="6" t="s">
        <v>73</v>
      </c>
      <c r="F7" s="6" t="s">
        <v>99</v>
      </c>
      <c r="G7" s="6" t="s">
        <v>71</v>
      </c>
      <c r="H7" s="5" t="s">
        <v>72</v>
      </c>
    </row>
    <row r="8" spans="2:8" ht="24" customHeight="1" x14ac:dyDescent="0.2">
      <c r="B8" s="4">
        <f t="array" ref="B8:H8">INDEX(calendar,ndx+2)</f>
        <v>45823</v>
      </c>
      <c r="C8" s="4">
        <v>45824</v>
      </c>
      <c r="D8" s="4">
        <v>45825</v>
      </c>
      <c r="E8" s="4">
        <v>45826</v>
      </c>
      <c r="F8" s="4">
        <v>45827</v>
      </c>
      <c r="G8" s="4">
        <v>45828</v>
      </c>
      <c r="H8" s="4">
        <v>45829</v>
      </c>
    </row>
    <row r="9" spans="2:8" ht="51" customHeight="1" x14ac:dyDescent="0.2">
      <c r="B9" s="6" t="s">
        <v>72</v>
      </c>
      <c r="C9" s="6" t="s">
        <v>71</v>
      </c>
      <c r="D9" s="6" t="s">
        <v>63</v>
      </c>
      <c r="E9" s="6" t="s">
        <v>63</v>
      </c>
      <c r="F9" s="6" t="s">
        <v>63</v>
      </c>
      <c r="G9" s="6" t="s">
        <v>75</v>
      </c>
      <c r="H9" s="5" t="s">
        <v>70</v>
      </c>
    </row>
    <row r="10" spans="2:8" ht="24" customHeight="1" x14ac:dyDescent="0.2">
      <c r="B10" s="4">
        <f t="array" ref="B10:H10">INDEX(calendar,ndx+3)</f>
        <v>45830</v>
      </c>
      <c r="C10" s="4">
        <v>45831</v>
      </c>
      <c r="D10" s="4">
        <v>45832</v>
      </c>
      <c r="E10" s="4">
        <v>45833</v>
      </c>
      <c r="F10" s="4">
        <v>45834</v>
      </c>
      <c r="G10" s="4">
        <v>45835</v>
      </c>
      <c r="H10" s="4">
        <v>45836</v>
      </c>
    </row>
    <row r="11" spans="2:8" ht="51" customHeight="1" x14ac:dyDescent="0.2">
      <c r="B11" s="5" t="s">
        <v>110</v>
      </c>
      <c r="C11" s="5" t="s">
        <v>84</v>
      </c>
      <c r="D11" s="5" t="s">
        <v>85</v>
      </c>
      <c r="E11" s="5" t="s">
        <v>85</v>
      </c>
      <c r="F11" s="5" t="s">
        <v>85</v>
      </c>
      <c r="G11" s="5" t="s">
        <v>86</v>
      </c>
      <c r="H11" s="5"/>
    </row>
    <row r="12" spans="2:8" ht="24" customHeight="1" x14ac:dyDescent="0.2">
      <c r="B12" s="4">
        <f t="array" ref="B12:H12">INDEX(calendar,ndx+4)</f>
        <v>45837</v>
      </c>
      <c r="C12" s="4">
        <v>45838</v>
      </c>
      <c r="D12" s="4">
        <v>45839</v>
      </c>
      <c r="E12" s="4">
        <v>45840</v>
      </c>
      <c r="F12" s="4">
        <v>45841</v>
      </c>
      <c r="G12" s="4">
        <v>45842</v>
      </c>
      <c r="H12" s="4">
        <v>45843</v>
      </c>
    </row>
    <row r="13" spans="2:8" ht="51" customHeight="1" x14ac:dyDescent="0.2">
      <c r="B13" s="5"/>
      <c r="C13" s="6" t="s">
        <v>107</v>
      </c>
      <c r="D13" s="6"/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45844</v>
      </c>
      <c r="C14" s="4">
        <v>45845</v>
      </c>
      <c r="D14" s="4">
        <v>45846</v>
      </c>
      <c r="E14" s="4">
        <v>45847</v>
      </c>
      <c r="F14" s="4">
        <v>45848</v>
      </c>
      <c r="G14" s="4">
        <v>45849</v>
      </c>
      <c r="H14" s="4">
        <v>45850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85" priority="1">
      <formula>MonthToDisplayNumber&lt;&gt;MONTH(B4)</formula>
    </cfRule>
  </conditionalFormatting>
  <conditionalFormatting sqref="B6:H6">
    <cfRule type="expression" dxfId="184" priority="6">
      <formula>MonthToDisplayNumber&lt;&gt;MONTH(B6)</formula>
    </cfRule>
  </conditionalFormatting>
  <conditionalFormatting sqref="B8:H8">
    <cfRule type="expression" dxfId="183" priority="5">
      <formula>MonthToDisplayNumber&lt;&gt;MONTH(B8)</formula>
    </cfRule>
  </conditionalFormatting>
  <conditionalFormatting sqref="B10:H10">
    <cfRule type="expression" dxfId="182" priority="4">
      <formula>MonthToDisplayNumber&lt;&gt;MONTH(B10)</formula>
    </cfRule>
  </conditionalFormatting>
  <conditionalFormatting sqref="B12:H12">
    <cfRule type="expression" dxfId="181" priority="3">
      <formula>MonthToDisplayNumber&lt;&gt;MONTH(B12)</formula>
    </cfRule>
  </conditionalFormatting>
  <conditionalFormatting sqref="B14:H14">
    <cfRule type="expression" dxfId="18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7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700-000001000000}"/>
    <dataValidation allowBlank="1" showInputMessage="1" showErrorMessage="1" prompt="Rows 12 and 14 may contain dates for the following month if the end of this month concludes in either row" sqref="B12" xr:uid="{00000000-0002-0000-07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7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7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700-000005000000}"/>
    <dataValidation allowBlank="1" showInputMessage="1" showErrorMessage="1" prompt="Enter the year for this calendar month" sqref="B1" xr:uid="{00000000-0002-0000-0700-000006000000}"/>
    <dataValidation allowBlank="1" showInputMessage="1" showErrorMessage="1" prompt="Enter daily notes in this cell. Rows 5, 7, 9, 11, 13 and 15 have cells beneath the day of the week for daily notes" sqref="B5" xr:uid="{00000000-0002-0000-07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F12" sqref="F12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12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45837</v>
      </c>
      <c r="C3" s="2">
        <v>45838</v>
      </c>
      <c r="D3" s="2">
        <v>45839</v>
      </c>
      <c r="E3" s="2">
        <v>45840</v>
      </c>
      <c r="F3" s="2">
        <v>45841</v>
      </c>
      <c r="G3" s="2">
        <v>45842</v>
      </c>
      <c r="H3" s="2">
        <v>45843</v>
      </c>
    </row>
    <row r="4" spans="2:8" ht="24" customHeight="1" thickTop="1" x14ac:dyDescent="0.2">
      <c r="B4" s="3">
        <f t="array" ref="B4:H4">INDEX(calendar,ndx+0)</f>
        <v>45837</v>
      </c>
      <c r="C4" s="3">
        <v>45838</v>
      </c>
      <c r="D4" s="3">
        <v>45839</v>
      </c>
      <c r="E4" s="3">
        <v>45840</v>
      </c>
      <c r="F4" s="3">
        <v>45841</v>
      </c>
      <c r="G4" s="3">
        <v>45842</v>
      </c>
      <c r="H4" s="3">
        <v>45843</v>
      </c>
    </row>
    <row r="5" spans="2:8" ht="51" customHeight="1" x14ac:dyDescent="0.2">
      <c r="B5" s="6"/>
      <c r="C5" s="6"/>
      <c r="D5" s="6"/>
      <c r="E5" s="6" t="s">
        <v>54</v>
      </c>
      <c r="F5" s="6" t="s">
        <v>21</v>
      </c>
      <c r="G5" s="6"/>
      <c r="H5" s="6"/>
    </row>
    <row r="6" spans="2:8" ht="24" customHeight="1" x14ac:dyDescent="0.2">
      <c r="B6" s="4">
        <f t="array" ref="B6:H6">INDEX(calendar,ndx+1)</f>
        <v>45844</v>
      </c>
      <c r="C6" s="4">
        <v>45845</v>
      </c>
      <c r="D6" s="4">
        <v>45846</v>
      </c>
      <c r="E6" s="4">
        <v>45847</v>
      </c>
      <c r="F6" s="4">
        <v>45848</v>
      </c>
      <c r="G6" s="4">
        <v>45849</v>
      </c>
      <c r="H6" s="4">
        <v>45850</v>
      </c>
    </row>
    <row r="7" spans="2:8" ht="51" customHeight="1" x14ac:dyDescent="0.2">
      <c r="B7" s="6" t="s">
        <v>108</v>
      </c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45851</v>
      </c>
      <c r="C8" s="4">
        <v>45852</v>
      </c>
      <c r="D8" s="4">
        <v>45853</v>
      </c>
      <c r="E8" s="4">
        <v>45854</v>
      </c>
      <c r="F8" s="4">
        <v>45855</v>
      </c>
      <c r="G8" s="4">
        <v>45856</v>
      </c>
      <c r="H8" s="4">
        <v>45857</v>
      </c>
    </row>
    <row r="9" spans="2:8" ht="51" customHeight="1" x14ac:dyDescent="0.2">
      <c r="B9" s="6"/>
      <c r="C9" s="5"/>
      <c r="D9" s="5"/>
      <c r="E9" s="5" t="s">
        <v>97</v>
      </c>
      <c r="F9" s="5" t="s">
        <v>98</v>
      </c>
      <c r="G9" s="5" t="s">
        <v>95</v>
      </c>
      <c r="H9" s="5"/>
    </row>
    <row r="10" spans="2:8" ht="24" customHeight="1" x14ac:dyDescent="0.2">
      <c r="B10" s="4">
        <f t="array" ref="B10:H10">INDEX(calendar,ndx+3)</f>
        <v>45858</v>
      </c>
      <c r="C10" s="4">
        <v>45859</v>
      </c>
      <c r="D10" s="4">
        <v>45860</v>
      </c>
      <c r="E10" s="4">
        <v>45861</v>
      </c>
      <c r="F10" s="4">
        <v>45862</v>
      </c>
      <c r="G10" s="4">
        <v>45863</v>
      </c>
      <c r="H10" s="4">
        <v>45864</v>
      </c>
    </row>
    <row r="11" spans="2:8" ht="51" customHeight="1" x14ac:dyDescent="0.2">
      <c r="B11" s="5"/>
      <c r="C11" s="5" t="s">
        <v>60</v>
      </c>
      <c r="D11" s="5" t="s">
        <v>61</v>
      </c>
      <c r="E11" s="5" t="s">
        <v>59</v>
      </c>
      <c r="F11" s="5" t="s">
        <v>123</v>
      </c>
      <c r="G11" s="5" t="s">
        <v>119</v>
      </c>
      <c r="H11" s="5" t="s">
        <v>120</v>
      </c>
    </row>
    <row r="12" spans="2:8" ht="24" customHeight="1" x14ac:dyDescent="0.2">
      <c r="B12" s="4">
        <f t="array" ref="B12:H12">INDEX(calendar,ndx+4)</f>
        <v>45865</v>
      </c>
      <c r="C12" s="4">
        <v>45866</v>
      </c>
      <c r="D12" s="4">
        <v>45867</v>
      </c>
      <c r="E12" s="4">
        <v>45868</v>
      </c>
      <c r="F12" s="4">
        <v>45869</v>
      </c>
      <c r="G12" s="4">
        <v>45870</v>
      </c>
      <c r="H12" s="4">
        <v>45871</v>
      </c>
    </row>
    <row r="13" spans="2:8" ht="51" customHeight="1" x14ac:dyDescent="0.2">
      <c r="B13" s="5" t="s">
        <v>118</v>
      </c>
      <c r="C13" s="6" t="s">
        <v>60</v>
      </c>
      <c r="D13" s="6" t="s">
        <v>60</v>
      </c>
      <c r="E13" s="6" t="s">
        <v>59</v>
      </c>
      <c r="F13" s="5" t="s">
        <v>93</v>
      </c>
      <c r="G13" s="5"/>
      <c r="H13" s="5"/>
    </row>
    <row r="14" spans="2:8" ht="23.25" customHeight="1" x14ac:dyDescent="0.2">
      <c r="B14" s="4">
        <f t="array" ref="B14:H14">INDEX(calendar,ndx+5)</f>
        <v>45872</v>
      </c>
      <c r="C14" s="4">
        <v>45873</v>
      </c>
      <c r="D14" s="4">
        <v>45874</v>
      </c>
      <c r="E14" s="4">
        <v>45875</v>
      </c>
      <c r="F14" s="4">
        <v>45876</v>
      </c>
      <c r="G14" s="4">
        <v>45877</v>
      </c>
      <c r="H14" s="4">
        <v>45878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79" priority="1">
      <formula>MonthToDisplayNumber&lt;&gt;MONTH(B4)</formula>
    </cfRule>
  </conditionalFormatting>
  <conditionalFormatting sqref="B6:H6">
    <cfRule type="expression" dxfId="178" priority="6">
      <formula>MonthToDisplayNumber&lt;&gt;MONTH(B6)</formula>
    </cfRule>
  </conditionalFormatting>
  <conditionalFormatting sqref="B8:H8">
    <cfRule type="expression" dxfId="177" priority="5">
      <formula>MonthToDisplayNumber&lt;&gt;MONTH(B8)</formula>
    </cfRule>
  </conditionalFormatting>
  <conditionalFormatting sqref="B10:H10">
    <cfRule type="expression" dxfId="176" priority="4">
      <formula>MonthToDisplayNumber&lt;&gt;MONTH(B10)</formula>
    </cfRule>
  </conditionalFormatting>
  <conditionalFormatting sqref="B12:H12">
    <cfRule type="expression" dxfId="175" priority="3">
      <formula>MonthToDisplayNumber&lt;&gt;MONTH(B12)</formula>
    </cfRule>
  </conditionalFormatting>
  <conditionalFormatting sqref="B14:H14">
    <cfRule type="expression" dxfId="17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8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800-000001000000}"/>
    <dataValidation allowBlank="1" showInputMessage="1" showErrorMessage="1" prompt="Rows 12 and 14 may contain dates for the following month if the end of this month concludes in either row" sqref="B12" xr:uid="{00000000-0002-0000-0800-000002000000}"/>
    <dataValidation allowBlank="1" showInputMessage="1" showErrorMessage="1" prompt="Enter daily notes in this cell. Rows 5, 7, 9, 11, 13 and 15 have cells beneath the day of the week for daily notes" sqref="B5" xr:uid="{00000000-0002-0000-0800-000003000000}"/>
    <dataValidation allowBlank="1" showInputMessage="1" showErrorMessage="1" prompt="Enter the year for this calendar month" sqref="B1" xr:uid="{00000000-0002-0000-08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8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8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8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D13" sqref="D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13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45865</v>
      </c>
      <c r="C3" s="2">
        <v>45866</v>
      </c>
      <c r="D3" s="2">
        <v>45867</v>
      </c>
      <c r="E3" s="2">
        <v>45868</v>
      </c>
      <c r="F3" s="2">
        <v>45869</v>
      </c>
      <c r="G3" s="2">
        <v>45870</v>
      </c>
      <c r="H3" s="2">
        <v>45871</v>
      </c>
    </row>
    <row r="4" spans="2:8" ht="24" customHeight="1" thickTop="1" x14ac:dyDescent="0.2">
      <c r="B4" s="3">
        <f t="array" ref="B4:H4">INDEX(calendar,ndx+0)</f>
        <v>45865</v>
      </c>
      <c r="C4" s="3">
        <v>45866</v>
      </c>
      <c r="D4" s="3">
        <v>45867</v>
      </c>
      <c r="E4" s="3">
        <v>45868</v>
      </c>
      <c r="F4" s="3">
        <v>45869</v>
      </c>
      <c r="G4" s="3">
        <v>45870</v>
      </c>
      <c r="H4" s="3">
        <v>45871</v>
      </c>
    </row>
    <row r="5" spans="2:8" ht="51" customHeight="1" x14ac:dyDescent="0.2">
      <c r="B5" s="6"/>
      <c r="C5" s="6"/>
      <c r="D5" s="6"/>
      <c r="E5" s="6"/>
      <c r="F5" s="6"/>
      <c r="G5" s="6" t="s">
        <v>117</v>
      </c>
      <c r="H5" s="5" t="s">
        <v>124</v>
      </c>
    </row>
    <row r="6" spans="2:8" ht="24" customHeight="1" x14ac:dyDescent="0.2">
      <c r="B6" s="4">
        <f t="array" ref="B6:H6">INDEX(calendar,ndx+1)</f>
        <v>45872</v>
      </c>
      <c r="C6" s="4">
        <v>45873</v>
      </c>
      <c r="D6" s="4">
        <v>45874</v>
      </c>
      <c r="E6" s="4">
        <v>45875</v>
      </c>
      <c r="F6" s="4">
        <v>45876</v>
      </c>
      <c r="G6" s="4">
        <v>45877</v>
      </c>
      <c r="H6" s="4">
        <v>45878</v>
      </c>
    </row>
    <row r="7" spans="2:8" ht="51" customHeight="1" x14ac:dyDescent="0.2">
      <c r="B7" s="6" t="s">
        <v>125</v>
      </c>
      <c r="C7" s="5" t="s">
        <v>126</v>
      </c>
      <c r="D7" s="5" t="s">
        <v>126</v>
      </c>
      <c r="E7" s="5"/>
      <c r="F7" s="5"/>
      <c r="G7" s="5"/>
      <c r="H7" s="5"/>
    </row>
    <row r="8" spans="2:8" ht="24" customHeight="1" x14ac:dyDescent="0.2">
      <c r="B8" s="4">
        <f t="array" ref="B8:H8">INDEX(calendar,ndx+2)</f>
        <v>45879</v>
      </c>
      <c r="C8" s="4">
        <v>45880</v>
      </c>
      <c r="D8" s="4">
        <v>45881</v>
      </c>
      <c r="E8" s="4">
        <v>45882</v>
      </c>
      <c r="F8" s="4">
        <v>45883</v>
      </c>
      <c r="G8" s="4">
        <v>45884</v>
      </c>
      <c r="H8" s="4">
        <v>45885</v>
      </c>
    </row>
    <row r="9" spans="2:8" ht="51" customHeight="1" x14ac:dyDescent="0.2">
      <c r="B9" s="6"/>
      <c r="C9" s="5"/>
      <c r="D9" s="5"/>
      <c r="E9" s="5" t="s">
        <v>111</v>
      </c>
      <c r="F9" s="5" t="s">
        <v>113</v>
      </c>
      <c r="G9" s="5" t="s">
        <v>114</v>
      </c>
      <c r="H9" s="5" t="s">
        <v>115</v>
      </c>
    </row>
    <row r="10" spans="2:8" ht="24" customHeight="1" x14ac:dyDescent="0.2">
      <c r="B10" s="4">
        <f t="array" ref="B10:H10">INDEX(calendar,ndx+3)</f>
        <v>45886</v>
      </c>
      <c r="C10" s="4">
        <v>45887</v>
      </c>
      <c r="D10" s="4">
        <v>45888</v>
      </c>
      <c r="E10" s="4">
        <v>45889</v>
      </c>
      <c r="F10" s="4">
        <v>45890</v>
      </c>
      <c r="G10" s="4">
        <v>45891</v>
      </c>
      <c r="H10" s="4">
        <v>45892</v>
      </c>
    </row>
    <row r="11" spans="2:8" ht="51" customHeight="1" x14ac:dyDescent="0.2">
      <c r="B11" s="5" t="s">
        <v>116</v>
      </c>
      <c r="C11" s="5" t="s">
        <v>109</v>
      </c>
      <c r="D11" s="5" t="s">
        <v>109</v>
      </c>
      <c r="E11" s="5" t="s">
        <v>109</v>
      </c>
      <c r="F11" s="5"/>
      <c r="G11" s="5" t="s">
        <v>121</v>
      </c>
      <c r="H11" s="5" t="s">
        <v>122</v>
      </c>
    </row>
    <row r="12" spans="2:8" ht="24" customHeight="1" x14ac:dyDescent="0.2">
      <c r="B12" s="4">
        <f t="array" ref="B12:H12">INDEX(calendar,ndx+4)</f>
        <v>45893</v>
      </c>
      <c r="C12" s="4">
        <v>45894</v>
      </c>
      <c r="D12" s="4">
        <v>45895</v>
      </c>
      <c r="E12" s="4">
        <v>45896</v>
      </c>
      <c r="F12" s="4">
        <v>45897</v>
      </c>
      <c r="G12" s="4">
        <v>45898</v>
      </c>
      <c r="H12" s="4">
        <v>45899</v>
      </c>
    </row>
    <row r="13" spans="2:8" ht="51" customHeight="1" x14ac:dyDescent="0.2">
      <c r="B13" s="5" t="s">
        <v>122</v>
      </c>
      <c r="C13" s="6" t="s">
        <v>128</v>
      </c>
      <c r="D13" s="6" t="s">
        <v>155</v>
      </c>
      <c r="E13" s="6" t="s">
        <v>139</v>
      </c>
      <c r="F13" s="5" t="s">
        <v>127</v>
      </c>
      <c r="G13" s="5" t="s">
        <v>131</v>
      </c>
      <c r="H13" s="5" t="s">
        <v>130</v>
      </c>
    </row>
    <row r="14" spans="2:8" ht="23.25" customHeight="1" x14ac:dyDescent="0.2">
      <c r="B14" s="4">
        <f t="array" ref="B14:H14">INDEX(calendar,ndx+5)</f>
        <v>45900</v>
      </c>
      <c r="C14" s="4">
        <v>45901</v>
      </c>
      <c r="D14" s="4">
        <v>45902</v>
      </c>
      <c r="E14" s="4">
        <v>45903</v>
      </c>
      <c r="F14" s="4">
        <v>45904</v>
      </c>
      <c r="G14" s="4">
        <v>45905</v>
      </c>
      <c r="H14" s="4">
        <v>45906</v>
      </c>
    </row>
    <row r="15" spans="2:8" ht="51" customHeight="1" x14ac:dyDescent="0.2">
      <c r="B15" s="5" t="s">
        <v>129</v>
      </c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73" priority="1">
      <formula>MonthToDisplayNumber&lt;&gt;MONTH(B4)</formula>
    </cfRule>
  </conditionalFormatting>
  <conditionalFormatting sqref="B6:H6">
    <cfRule type="expression" dxfId="172" priority="6">
      <formula>MonthToDisplayNumber&lt;&gt;MONTH(B6)</formula>
    </cfRule>
  </conditionalFormatting>
  <conditionalFormatting sqref="B8:H8">
    <cfRule type="expression" dxfId="171" priority="5">
      <formula>MonthToDisplayNumber&lt;&gt;MONTH(B8)</formula>
    </cfRule>
  </conditionalFormatting>
  <conditionalFormatting sqref="B10:H10">
    <cfRule type="expression" dxfId="170" priority="4">
      <formula>MonthToDisplayNumber&lt;&gt;MONTH(B10)</formula>
    </cfRule>
  </conditionalFormatting>
  <conditionalFormatting sqref="B12:H12">
    <cfRule type="expression" dxfId="169" priority="3">
      <formula>MonthToDisplayNumber&lt;&gt;MONTH(B12)</formula>
    </cfRule>
  </conditionalFormatting>
  <conditionalFormatting sqref="B14:H14">
    <cfRule type="expression" dxfId="16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9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900-000001000000}"/>
    <dataValidation allowBlank="1" showInputMessage="1" showErrorMessage="1" prompt="Rows 12 and 14 may contain dates for the following month if the end of this month concludes in either row" sqref="B12" xr:uid="{00000000-0002-0000-09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9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9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900-000005000000}"/>
    <dataValidation allowBlank="1" showInputMessage="1" showErrorMessage="1" prompt="Enter the year for this calendar month" sqref="B1" xr:uid="{00000000-0002-0000-0900-000006000000}"/>
    <dataValidation allowBlank="1" showInputMessage="1" showErrorMessage="1" prompt="Enter daily notes in this cell. Rows 5, 7, 9, 11, 13 and 15 have cells beneath the day of the week for daily notes" sqref="B5" xr:uid="{00000000-0002-0000-09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H11" sqref="H1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45900</v>
      </c>
      <c r="C3" s="2">
        <v>45901</v>
      </c>
      <c r="D3" s="2">
        <v>45902</v>
      </c>
      <c r="E3" s="2">
        <v>45903</v>
      </c>
      <c r="F3" s="2">
        <v>45904</v>
      </c>
      <c r="G3" s="2">
        <v>45905</v>
      </c>
      <c r="H3" s="2">
        <v>45906</v>
      </c>
    </row>
    <row r="4" spans="2:8" ht="24" customHeight="1" thickTop="1" x14ac:dyDescent="0.2">
      <c r="B4" s="3">
        <f t="array" ref="B4:H4">INDEX(calendar,ndx+0)</f>
        <v>45900</v>
      </c>
      <c r="C4" s="3">
        <v>45901</v>
      </c>
      <c r="D4" s="3">
        <v>45902</v>
      </c>
      <c r="E4" s="3">
        <v>45903</v>
      </c>
      <c r="F4" s="3">
        <v>45904</v>
      </c>
      <c r="G4" s="3">
        <v>45905</v>
      </c>
      <c r="H4" s="3">
        <v>45906</v>
      </c>
    </row>
    <row r="5" spans="2:8" ht="51" customHeight="1" x14ac:dyDescent="0.2">
      <c r="B5" s="6"/>
      <c r="C5" s="6" t="s">
        <v>138</v>
      </c>
      <c r="D5" s="6" t="s">
        <v>133</v>
      </c>
      <c r="E5" s="6" t="s">
        <v>132</v>
      </c>
      <c r="F5" s="6"/>
      <c r="G5" s="6"/>
      <c r="H5" s="6" t="s">
        <v>134</v>
      </c>
    </row>
    <row r="6" spans="2:8" ht="24" customHeight="1" x14ac:dyDescent="0.2">
      <c r="B6" s="4">
        <f t="array" ref="B6:H6">INDEX(calendar,ndx+1)</f>
        <v>45907</v>
      </c>
      <c r="C6" s="4">
        <v>45908</v>
      </c>
      <c r="D6" s="4">
        <v>45909</v>
      </c>
      <c r="E6" s="4">
        <v>45910</v>
      </c>
      <c r="F6" s="4">
        <v>45911</v>
      </c>
      <c r="G6" s="4">
        <v>45912</v>
      </c>
      <c r="H6" s="4">
        <v>45913</v>
      </c>
    </row>
    <row r="7" spans="2:8" ht="51" customHeight="1" x14ac:dyDescent="0.2">
      <c r="B7" s="6" t="s">
        <v>152</v>
      </c>
      <c r="C7" s="5" t="s">
        <v>153</v>
      </c>
      <c r="D7" s="5"/>
      <c r="E7" s="5" t="s">
        <v>146</v>
      </c>
      <c r="F7" s="5" t="s">
        <v>140</v>
      </c>
      <c r="G7" s="5" t="s">
        <v>141</v>
      </c>
      <c r="H7" s="5" t="s">
        <v>142</v>
      </c>
    </row>
    <row r="8" spans="2:8" ht="24" customHeight="1" x14ac:dyDescent="0.2">
      <c r="B8" s="4">
        <f t="array" ref="B8:H8">INDEX(calendar,ndx+2)</f>
        <v>45914</v>
      </c>
      <c r="C8" s="4">
        <v>45915</v>
      </c>
      <c r="D8" s="4">
        <v>45916</v>
      </c>
      <c r="E8" s="4">
        <v>45917</v>
      </c>
      <c r="F8" s="4">
        <v>45918</v>
      </c>
      <c r="G8" s="4">
        <v>45919</v>
      </c>
      <c r="H8" s="4">
        <v>45920</v>
      </c>
    </row>
    <row r="9" spans="2:8" ht="51" customHeight="1" x14ac:dyDescent="0.2">
      <c r="B9" s="5" t="s">
        <v>142</v>
      </c>
      <c r="C9" s="5" t="s">
        <v>143</v>
      </c>
      <c r="D9" s="5" t="s">
        <v>143</v>
      </c>
      <c r="E9" s="5" t="s">
        <v>150</v>
      </c>
      <c r="F9" s="5" t="s">
        <v>151</v>
      </c>
      <c r="G9" s="5" t="s">
        <v>159</v>
      </c>
      <c r="H9" s="5" t="s">
        <v>156</v>
      </c>
    </row>
    <row r="10" spans="2:8" ht="24" customHeight="1" x14ac:dyDescent="0.2">
      <c r="B10" s="4">
        <f t="array" ref="B10:H10">INDEX(calendar,ndx+3)</f>
        <v>45921</v>
      </c>
      <c r="C10" s="4">
        <v>45922</v>
      </c>
      <c r="D10" s="4">
        <v>45923</v>
      </c>
      <c r="E10" s="4">
        <v>45924</v>
      </c>
      <c r="F10" s="4">
        <v>45925</v>
      </c>
      <c r="G10" s="4">
        <v>45926</v>
      </c>
      <c r="H10" s="4">
        <v>45927</v>
      </c>
    </row>
    <row r="11" spans="2:8" ht="51" customHeight="1" x14ac:dyDescent="0.2">
      <c r="B11" s="5" t="s">
        <v>157</v>
      </c>
      <c r="C11" s="5" t="s">
        <v>145</v>
      </c>
      <c r="D11" s="5" t="s">
        <v>144</v>
      </c>
      <c r="E11" s="5" t="s">
        <v>160</v>
      </c>
      <c r="F11" s="5" t="s">
        <v>147</v>
      </c>
      <c r="G11" s="5" t="s">
        <v>154</v>
      </c>
      <c r="H11" s="5" t="s">
        <v>161</v>
      </c>
    </row>
    <row r="12" spans="2:8" ht="24" customHeight="1" x14ac:dyDescent="0.2">
      <c r="B12" s="4">
        <f t="array" ref="B12:H12">INDEX(calendar,ndx+4)</f>
        <v>45928</v>
      </c>
      <c r="C12" s="4">
        <v>45929</v>
      </c>
      <c r="D12" s="4">
        <v>45930</v>
      </c>
      <c r="E12" s="4">
        <v>45931</v>
      </c>
      <c r="F12" s="4">
        <v>45932</v>
      </c>
      <c r="G12" s="4">
        <v>45933</v>
      </c>
      <c r="H12" s="4">
        <v>45934</v>
      </c>
    </row>
    <row r="13" spans="2:8" ht="51" customHeight="1" x14ac:dyDescent="0.2">
      <c r="B13" s="5" t="s">
        <v>147</v>
      </c>
      <c r="C13" s="5" t="s">
        <v>148</v>
      </c>
      <c r="D13" s="5" t="s">
        <v>147</v>
      </c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45935</v>
      </c>
      <c r="C14" s="4">
        <v>45936</v>
      </c>
      <c r="D14" s="4">
        <v>45937</v>
      </c>
      <c r="E14" s="4">
        <v>45938</v>
      </c>
      <c r="F14" s="4">
        <v>45939</v>
      </c>
      <c r="G14" s="4">
        <v>45940</v>
      </c>
      <c r="H14" s="4">
        <v>45941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67" priority="1">
      <formula>MonthToDisplayNumber&lt;&gt;MONTH(B4)</formula>
    </cfRule>
  </conditionalFormatting>
  <conditionalFormatting sqref="B6:H6">
    <cfRule type="expression" dxfId="166" priority="6">
      <formula>MonthToDisplayNumber&lt;&gt;MONTH(B6)</formula>
    </cfRule>
  </conditionalFormatting>
  <conditionalFormatting sqref="B8:H8">
    <cfRule type="expression" dxfId="165" priority="5">
      <formula>MonthToDisplayNumber&lt;&gt;MONTH(B8)</formula>
    </cfRule>
  </conditionalFormatting>
  <conditionalFormatting sqref="B10:H10">
    <cfRule type="expression" dxfId="164" priority="4">
      <formula>MonthToDisplayNumber&lt;&gt;MONTH(B10)</formula>
    </cfRule>
  </conditionalFormatting>
  <conditionalFormatting sqref="B12:H12">
    <cfRule type="expression" dxfId="163" priority="3">
      <formula>MonthToDisplayNumber&lt;&gt;MONTH(B12)</formula>
    </cfRule>
  </conditionalFormatting>
  <conditionalFormatting sqref="B14:H14">
    <cfRule type="expression" dxfId="16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A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A00-000001000000}"/>
    <dataValidation allowBlank="1" showInputMessage="1" showErrorMessage="1" prompt="Rows 12 and 14 may contain dates for the following month if the end of this month concludes in either row" sqref="B12" xr:uid="{00000000-0002-0000-0A00-000002000000}"/>
    <dataValidation allowBlank="1" showInputMessage="1" showErrorMessage="1" prompt="Enter daily notes in this cell. Rows 5, 7, 9, 11, 13 and 15 have cells beneath the day of the week for daily notes" sqref="B5" xr:uid="{00000000-0002-0000-0A00-000003000000}"/>
    <dataValidation allowBlank="1" showInputMessage="1" showErrorMessage="1" prompt="Enter the year for this calendar month" sqref="B1" xr:uid="{00000000-0002-0000-0A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A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A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A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499984740745262"/>
    <pageSetUpPr fitToPage="1"/>
  </sheetPr>
  <dimension ref="B1:H15"/>
  <sheetViews>
    <sheetView showGridLines="0" showRuler="0" topLeftCell="A2" zoomScaleNormal="100" workbookViewId="0">
      <selection activeCell="B11" sqref="B1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15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45928</v>
      </c>
      <c r="C3" s="2">
        <v>45929</v>
      </c>
      <c r="D3" s="2">
        <v>45930</v>
      </c>
      <c r="E3" s="2">
        <v>45931</v>
      </c>
      <c r="F3" s="2">
        <v>45932</v>
      </c>
      <c r="G3" s="2">
        <v>45933</v>
      </c>
      <c r="H3" s="2">
        <v>45934</v>
      </c>
    </row>
    <row r="4" spans="2:8" ht="24" customHeight="1" thickTop="1" x14ac:dyDescent="0.2">
      <c r="B4" s="3">
        <f t="array" ref="B4:H4">INDEX(calendar,ndx+0)</f>
        <v>45928</v>
      </c>
      <c r="C4" s="3">
        <v>45929</v>
      </c>
      <c r="D4" s="3">
        <v>45930</v>
      </c>
      <c r="E4" s="3">
        <v>45931</v>
      </c>
      <c r="F4" s="3">
        <v>45932</v>
      </c>
      <c r="G4" s="3">
        <v>45933</v>
      </c>
      <c r="H4" s="3">
        <v>45934</v>
      </c>
    </row>
    <row r="5" spans="2:8" ht="51" customHeight="1" x14ac:dyDescent="0.2">
      <c r="B5" s="6"/>
      <c r="C5" s="6"/>
      <c r="D5" s="6"/>
      <c r="E5" s="5"/>
      <c r="F5" s="5"/>
      <c r="G5" s="5"/>
      <c r="H5" s="5"/>
    </row>
    <row r="6" spans="2:8" ht="24" customHeight="1" x14ac:dyDescent="0.2">
      <c r="B6" s="4">
        <f t="array" ref="B6:H6">INDEX(calendar,ndx+1)</f>
        <v>45935</v>
      </c>
      <c r="C6" s="4">
        <v>45936</v>
      </c>
      <c r="D6" s="4">
        <v>45937</v>
      </c>
      <c r="E6" s="4">
        <v>45938</v>
      </c>
      <c r="F6" s="4">
        <v>45939</v>
      </c>
      <c r="G6" s="4">
        <v>45940</v>
      </c>
      <c r="H6" s="4">
        <v>45941</v>
      </c>
    </row>
    <row r="7" spans="2:8" ht="51" customHeight="1" x14ac:dyDescent="0.2">
      <c r="B7" s="5" t="s">
        <v>162</v>
      </c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45942</v>
      </c>
      <c r="C8" s="4">
        <v>45943</v>
      </c>
      <c r="D8" s="4">
        <v>45944</v>
      </c>
      <c r="E8" s="4">
        <v>45945</v>
      </c>
      <c r="F8" s="4">
        <v>45946</v>
      </c>
      <c r="G8" s="4">
        <v>45947</v>
      </c>
      <c r="H8" s="4">
        <v>45948</v>
      </c>
    </row>
    <row r="9" spans="2:8" ht="51" customHeight="1" x14ac:dyDescent="0.2">
      <c r="B9" s="10" t="s">
        <v>112</v>
      </c>
      <c r="C9" s="5" t="s">
        <v>186</v>
      </c>
      <c r="D9" s="5" t="s">
        <v>186</v>
      </c>
      <c r="E9" s="5" t="s">
        <v>186</v>
      </c>
      <c r="F9" s="5" t="s">
        <v>186</v>
      </c>
      <c r="G9" s="5" t="s">
        <v>187</v>
      </c>
      <c r="H9" s="5" t="s">
        <v>189</v>
      </c>
    </row>
    <row r="10" spans="2:8" ht="24" customHeight="1" x14ac:dyDescent="0.2">
      <c r="B10" s="4">
        <f t="array" ref="B10:H10">INDEX(calendar,ndx+3)</f>
        <v>45949</v>
      </c>
      <c r="C10" s="4">
        <v>45950</v>
      </c>
      <c r="D10" s="4">
        <v>45951</v>
      </c>
      <c r="E10" s="4">
        <v>45952</v>
      </c>
      <c r="F10" s="4">
        <v>45953</v>
      </c>
      <c r="G10" s="4">
        <v>45954</v>
      </c>
      <c r="H10" s="4">
        <v>45955</v>
      </c>
    </row>
    <row r="11" spans="2:8" ht="51" customHeight="1" x14ac:dyDescent="0.2">
      <c r="B11" s="5" t="s">
        <v>23</v>
      </c>
      <c r="C11" s="5" t="s">
        <v>163</v>
      </c>
      <c r="D11" s="5" t="s">
        <v>164</v>
      </c>
      <c r="E11" s="5" t="s">
        <v>165</v>
      </c>
      <c r="F11" s="5" t="s">
        <v>166</v>
      </c>
      <c r="G11" s="5" t="s">
        <v>167</v>
      </c>
      <c r="H11" s="5" t="s">
        <v>169</v>
      </c>
    </row>
    <row r="12" spans="2:8" ht="24" customHeight="1" x14ac:dyDescent="0.2">
      <c r="B12" s="4">
        <f t="array" ref="B12:H12">INDEX(calendar,ndx+4)</f>
        <v>45956</v>
      </c>
      <c r="C12" s="4">
        <v>45957</v>
      </c>
      <c r="D12" s="4">
        <v>45958</v>
      </c>
      <c r="E12" s="4">
        <v>45959</v>
      </c>
      <c r="F12" s="4">
        <v>45960</v>
      </c>
      <c r="G12" s="4">
        <v>45961</v>
      </c>
      <c r="H12" s="4">
        <v>45962</v>
      </c>
    </row>
    <row r="13" spans="2:8" ht="51" customHeight="1" x14ac:dyDescent="0.2">
      <c r="B13" s="5" t="s">
        <v>171</v>
      </c>
      <c r="C13" s="6" t="s">
        <v>170</v>
      </c>
      <c r="D13" s="6" t="s">
        <v>168</v>
      </c>
      <c r="E13" s="6" t="s">
        <v>168</v>
      </c>
      <c r="F13" s="5" t="s">
        <v>172</v>
      </c>
      <c r="G13" s="5" t="s">
        <v>173</v>
      </c>
      <c r="H13" s="5"/>
    </row>
    <row r="14" spans="2:8" ht="23.25" customHeight="1" x14ac:dyDescent="0.2">
      <c r="B14" s="4">
        <f t="array" ref="B14:H14">INDEX(calendar,ndx+5)</f>
        <v>45963</v>
      </c>
      <c r="C14" s="4">
        <v>45964</v>
      </c>
      <c r="D14" s="4">
        <v>45965</v>
      </c>
      <c r="E14" s="4">
        <v>45966</v>
      </c>
      <c r="F14" s="4">
        <v>45967</v>
      </c>
      <c r="G14" s="4">
        <v>45968</v>
      </c>
      <c r="H14" s="4">
        <v>45969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61" priority="1">
      <formula>MonthToDisplayNumber&lt;&gt;MONTH(B4)</formula>
    </cfRule>
  </conditionalFormatting>
  <conditionalFormatting sqref="B6:H6">
    <cfRule type="expression" dxfId="160" priority="6">
      <formula>MonthToDisplayNumber&lt;&gt;MONTH(B6)</formula>
    </cfRule>
  </conditionalFormatting>
  <conditionalFormatting sqref="B8:H8">
    <cfRule type="expression" dxfId="159" priority="5">
      <formula>MonthToDisplayNumber&lt;&gt;MONTH(B8)</formula>
    </cfRule>
  </conditionalFormatting>
  <conditionalFormatting sqref="B10:H10">
    <cfRule type="expression" dxfId="158" priority="4">
      <formula>MonthToDisplayNumber&lt;&gt;MONTH(B10)</formula>
    </cfRule>
  </conditionalFormatting>
  <conditionalFormatting sqref="B12:H12">
    <cfRule type="expression" dxfId="157" priority="3">
      <formula>MonthToDisplayNumber&lt;&gt;MONTH(B12)</formula>
    </cfRule>
  </conditionalFormatting>
  <conditionalFormatting sqref="B14:H14">
    <cfRule type="expression" dxfId="15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B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B00-000001000000}"/>
    <dataValidation allowBlank="1" showInputMessage="1" showErrorMessage="1" prompt="Rows 12 and 14 may contain dates for the following month if the end of this month concludes in either row" sqref="B12" xr:uid="{00000000-0002-0000-0B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B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B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B00-000005000000}"/>
    <dataValidation allowBlank="1" showInputMessage="1" showErrorMessage="1" prompt="Enter the year for this calendar month" sqref="B1" xr:uid="{00000000-0002-0000-0B00-000006000000}"/>
    <dataValidation allowBlank="1" showInputMessage="1" showErrorMessage="1" prompt="Enter daily notes in this cell. Rows 5, 7, 9, 11, 13 and 15 have cells beneath the day of the week for daily notes" sqref="B5" xr:uid="{00000000-0002-0000-0B00-000007000000}"/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13" sqref="E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45956</v>
      </c>
      <c r="C3" s="2">
        <v>45957</v>
      </c>
      <c r="D3" s="2">
        <v>45958</v>
      </c>
      <c r="E3" s="2">
        <v>45959</v>
      </c>
      <c r="F3" s="2">
        <v>45960</v>
      </c>
      <c r="G3" s="2">
        <v>45961</v>
      </c>
      <c r="H3" s="2">
        <v>45962</v>
      </c>
    </row>
    <row r="4" spans="2:8" ht="24" customHeight="1" thickTop="1" x14ac:dyDescent="0.2">
      <c r="B4" s="3">
        <f t="array" ref="B4:H4">INDEX(calendar,ndx+0)</f>
        <v>45956</v>
      </c>
      <c r="C4" s="3">
        <v>45957</v>
      </c>
      <c r="D4" s="3">
        <v>45958</v>
      </c>
      <c r="E4" s="3">
        <v>45959</v>
      </c>
      <c r="F4" s="3">
        <v>45960</v>
      </c>
      <c r="G4" s="3">
        <v>45961</v>
      </c>
      <c r="H4" s="3">
        <v>45962</v>
      </c>
    </row>
    <row r="5" spans="2:8" ht="51" customHeight="1" x14ac:dyDescent="0.2">
      <c r="B5" s="6"/>
      <c r="C5" s="6"/>
      <c r="D5" s="6"/>
      <c r="E5" s="6"/>
      <c r="F5" s="6"/>
      <c r="G5" s="6"/>
      <c r="H5" s="6" t="s">
        <v>174</v>
      </c>
    </row>
    <row r="6" spans="2:8" ht="24" customHeight="1" x14ac:dyDescent="0.2">
      <c r="B6" s="4">
        <f t="array" ref="B6:H6">INDEX(calendar,ndx+1)</f>
        <v>45963</v>
      </c>
      <c r="C6" s="4">
        <v>45964</v>
      </c>
      <c r="D6" s="4">
        <v>45965</v>
      </c>
      <c r="E6" s="4">
        <v>45966</v>
      </c>
      <c r="F6" s="4">
        <v>45967</v>
      </c>
      <c r="G6" s="4">
        <v>45968</v>
      </c>
      <c r="H6" s="4">
        <v>45969</v>
      </c>
    </row>
    <row r="7" spans="2:8" ht="51" customHeight="1" x14ac:dyDescent="0.2">
      <c r="B7" s="6" t="s">
        <v>181</v>
      </c>
      <c r="C7" s="6" t="s">
        <v>181</v>
      </c>
      <c r="D7" s="6" t="s">
        <v>175</v>
      </c>
      <c r="E7" s="6" t="s">
        <v>175</v>
      </c>
      <c r="F7" s="6" t="s">
        <v>175</v>
      </c>
      <c r="G7" s="6" t="s">
        <v>176</v>
      </c>
      <c r="H7" s="6" t="s">
        <v>176</v>
      </c>
    </row>
    <row r="8" spans="2:8" ht="24" customHeight="1" x14ac:dyDescent="0.2">
      <c r="B8" s="4">
        <f t="array" ref="B8:H8">INDEX(calendar,ndx+2)</f>
        <v>45970</v>
      </c>
      <c r="C8" s="4">
        <v>45971</v>
      </c>
      <c r="D8" s="4">
        <v>45972</v>
      </c>
      <c r="E8" s="4">
        <v>45973</v>
      </c>
      <c r="F8" s="4">
        <v>45974</v>
      </c>
      <c r="G8" s="4">
        <v>45975</v>
      </c>
      <c r="H8" s="4">
        <v>45976</v>
      </c>
    </row>
    <row r="9" spans="2:8" ht="51" customHeight="1" x14ac:dyDescent="0.2">
      <c r="B9" s="6" t="s">
        <v>181</v>
      </c>
      <c r="C9" s="6" t="s">
        <v>181</v>
      </c>
      <c r="D9" s="5" t="s">
        <v>177</v>
      </c>
      <c r="E9" s="5" t="s">
        <v>177</v>
      </c>
      <c r="F9" s="5" t="s">
        <v>178</v>
      </c>
      <c r="G9" s="5" t="s">
        <v>179</v>
      </c>
      <c r="H9" s="5" t="s">
        <v>192</v>
      </c>
    </row>
    <row r="10" spans="2:8" ht="24" customHeight="1" x14ac:dyDescent="0.2">
      <c r="B10" s="4">
        <f t="array" ref="B10:H10">INDEX(calendar,ndx+3)</f>
        <v>45977</v>
      </c>
      <c r="C10" s="4">
        <v>45978</v>
      </c>
      <c r="D10" s="4">
        <v>45979</v>
      </c>
      <c r="E10" s="4">
        <v>45980</v>
      </c>
      <c r="F10" s="4">
        <v>45981</v>
      </c>
      <c r="G10" s="4">
        <v>45982</v>
      </c>
      <c r="H10" s="4">
        <v>45983</v>
      </c>
    </row>
    <row r="11" spans="2:8" ht="51" customHeight="1" x14ac:dyDescent="0.2">
      <c r="B11" s="5" t="s">
        <v>193</v>
      </c>
      <c r="C11" s="5" t="s">
        <v>193</v>
      </c>
      <c r="D11" s="5" t="s">
        <v>194</v>
      </c>
      <c r="E11" s="5" t="s">
        <v>195</v>
      </c>
      <c r="F11" s="5" t="s">
        <v>191</v>
      </c>
      <c r="G11" s="5" t="s">
        <v>180</v>
      </c>
      <c r="H11" s="5" t="s">
        <v>200</v>
      </c>
    </row>
    <row r="12" spans="2:8" ht="24" customHeight="1" x14ac:dyDescent="0.2">
      <c r="B12" s="4">
        <f t="array" ref="B12:H12">INDEX(calendar,ndx+4)</f>
        <v>45984</v>
      </c>
      <c r="C12" s="4">
        <v>45985</v>
      </c>
      <c r="D12" s="4">
        <v>45986</v>
      </c>
      <c r="E12" s="4">
        <v>45987</v>
      </c>
      <c r="F12" s="4">
        <v>45988</v>
      </c>
      <c r="G12" s="4">
        <v>45989</v>
      </c>
      <c r="H12" s="4">
        <v>45990</v>
      </c>
    </row>
    <row r="13" spans="2:8" ht="51" customHeight="1" x14ac:dyDescent="0.2">
      <c r="B13" s="5" t="s">
        <v>201</v>
      </c>
      <c r="C13" s="6" t="s">
        <v>202</v>
      </c>
      <c r="D13" s="6" t="s">
        <v>199</v>
      </c>
      <c r="E13" s="6" t="s">
        <v>190</v>
      </c>
      <c r="F13" s="5" t="s">
        <v>185</v>
      </c>
      <c r="G13" s="5" t="s">
        <v>182</v>
      </c>
      <c r="H13" s="5" t="s">
        <v>183</v>
      </c>
    </row>
    <row r="14" spans="2:8" ht="23.25" customHeight="1" x14ac:dyDescent="0.2">
      <c r="B14" s="4">
        <f t="array" ref="B14:H14">INDEX(calendar,ndx+5)</f>
        <v>45991</v>
      </c>
      <c r="C14" s="4">
        <v>45992</v>
      </c>
      <c r="D14" s="4">
        <v>45993</v>
      </c>
      <c r="E14" s="4">
        <v>45994</v>
      </c>
      <c r="F14" s="4">
        <v>45995</v>
      </c>
      <c r="G14" s="4">
        <v>45996</v>
      </c>
      <c r="H14" s="4">
        <v>45997</v>
      </c>
    </row>
    <row r="15" spans="2:8" ht="51" customHeight="1" x14ac:dyDescent="0.2">
      <c r="B15" s="5" t="s">
        <v>183</v>
      </c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55" priority="1">
      <formula>MonthToDisplayNumber&lt;&gt;MONTH(B4)</formula>
    </cfRule>
  </conditionalFormatting>
  <conditionalFormatting sqref="B6:H6">
    <cfRule type="expression" dxfId="154" priority="6">
      <formula>MonthToDisplayNumber&lt;&gt;MONTH(B6)</formula>
    </cfRule>
  </conditionalFormatting>
  <conditionalFormatting sqref="B8:H8">
    <cfRule type="expression" dxfId="153" priority="5">
      <formula>MonthToDisplayNumber&lt;&gt;MONTH(B8)</formula>
    </cfRule>
  </conditionalFormatting>
  <conditionalFormatting sqref="B10:H10">
    <cfRule type="expression" dxfId="152" priority="4">
      <formula>MonthToDisplayNumber&lt;&gt;MONTH(B10)</formula>
    </cfRule>
  </conditionalFormatting>
  <conditionalFormatting sqref="B12:H12">
    <cfRule type="expression" dxfId="151" priority="3">
      <formula>MonthToDisplayNumber&lt;&gt;MONTH(B12)</formula>
    </cfRule>
  </conditionalFormatting>
  <conditionalFormatting sqref="B14:H14">
    <cfRule type="expression" dxfId="15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C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C00-000001000000}"/>
    <dataValidation allowBlank="1" showInputMessage="1" showErrorMessage="1" prompt="Rows 12 and 14 may contain dates for the following month if the end of this month concludes in either row" sqref="B12" xr:uid="{00000000-0002-0000-0C00-000002000000}"/>
    <dataValidation allowBlank="1" showInputMessage="1" showErrorMessage="1" prompt="Enter daily notes in this cell. Rows 5, 7, 9, 11, 13 and 15 have cells beneath the day of the week for daily notes" sqref="B5" xr:uid="{00000000-0002-0000-0C00-000003000000}"/>
    <dataValidation allowBlank="1" showInputMessage="1" showErrorMessage="1" prompt="Enter the year for this calendar month" sqref="B1" xr:uid="{00000000-0002-0000-0C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C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C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C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499984740745262"/>
    <pageSetUpPr fitToPage="1"/>
  </sheetPr>
  <dimension ref="B1:H15"/>
  <sheetViews>
    <sheetView showGridLines="0" showRuler="0" topLeftCell="B3" zoomScaleNormal="100" workbookViewId="0">
      <selection activeCell="F13" sqref="F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2025</v>
      </c>
      <c r="C1" s="13" t="s">
        <v>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45991</v>
      </c>
      <c r="C3" s="2">
        <v>45992</v>
      </c>
      <c r="D3" s="2">
        <v>45993</v>
      </c>
      <c r="E3" s="2">
        <v>45994</v>
      </c>
      <c r="F3" s="2">
        <v>45995</v>
      </c>
      <c r="G3" s="2">
        <v>45996</v>
      </c>
      <c r="H3" s="2">
        <v>45997</v>
      </c>
    </row>
    <row r="4" spans="2:8" ht="24" customHeight="1" thickTop="1" x14ac:dyDescent="0.2">
      <c r="B4" s="3">
        <f t="array" ref="B4:H4">INDEX(calendar,ndx+0)</f>
        <v>45991</v>
      </c>
      <c r="C4" s="3">
        <v>45992</v>
      </c>
      <c r="D4" s="3">
        <v>45993</v>
      </c>
      <c r="E4" s="3">
        <v>45994</v>
      </c>
      <c r="F4" s="3">
        <v>45995</v>
      </c>
      <c r="G4" s="3">
        <v>45996</v>
      </c>
      <c r="H4" s="3">
        <v>45997</v>
      </c>
    </row>
    <row r="5" spans="2:8" ht="51" customHeight="1" x14ac:dyDescent="0.2">
      <c r="B5" s="6"/>
      <c r="C5" s="6" t="s">
        <v>136</v>
      </c>
      <c r="D5" s="6" t="s">
        <v>205</v>
      </c>
      <c r="E5" s="6" t="s">
        <v>188</v>
      </c>
      <c r="F5" s="6" t="s">
        <v>135</v>
      </c>
      <c r="G5" s="6" t="s">
        <v>137</v>
      </c>
      <c r="H5" s="6" t="s">
        <v>137</v>
      </c>
    </row>
    <row r="6" spans="2:8" ht="24" customHeight="1" x14ac:dyDescent="0.2">
      <c r="B6" s="4">
        <f t="array" ref="B6:H6">INDEX(calendar,ndx+1)</f>
        <v>45998</v>
      </c>
      <c r="C6" s="4">
        <v>45999</v>
      </c>
      <c r="D6" s="4">
        <v>46000</v>
      </c>
      <c r="E6" s="4">
        <v>46001</v>
      </c>
      <c r="F6" s="4">
        <v>46002</v>
      </c>
      <c r="G6" s="4">
        <v>46003</v>
      </c>
      <c r="H6" s="4">
        <v>46004</v>
      </c>
    </row>
    <row r="7" spans="2:8" ht="51" customHeight="1" x14ac:dyDescent="0.2">
      <c r="B7" s="6" t="s">
        <v>137</v>
      </c>
      <c r="C7" s="5" t="s">
        <v>135</v>
      </c>
      <c r="D7" s="5" t="s">
        <v>135</v>
      </c>
      <c r="E7" s="5" t="s">
        <v>196</v>
      </c>
      <c r="F7" s="5" t="s">
        <v>149</v>
      </c>
      <c r="G7" s="6" t="s">
        <v>197</v>
      </c>
      <c r="H7" s="6" t="s">
        <v>137</v>
      </c>
    </row>
    <row r="8" spans="2:8" ht="24" customHeight="1" x14ac:dyDescent="0.2">
      <c r="B8" s="4">
        <f t="array" ref="B8:H8">INDEX(calendar,ndx+2)</f>
        <v>46005</v>
      </c>
      <c r="C8" s="4">
        <v>46006</v>
      </c>
      <c r="D8" s="4">
        <v>46007</v>
      </c>
      <c r="E8" s="4">
        <v>46008</v>
      </c>
      <c r="F8" s="4">
        <v>46009</v>
      </c>
      <c r="G8" s="4">
        <v>46010</v>
      </c>
      <c r="H8" s="4">
        <v>46011</v>
      </c>
    </row>
    <row r="9" spans="2:8" ht="51" customHeight="1" x14ac:dyDescent="0.2">
      <c r="B9" s="6" t="s">
        <v>137</v>
      </c>
      <c r="C9" s="5" t="s">
        <v>135</v>
      </c>
      <c r="D9" s="5" t="s">
        <v>208</v>
      </c>
      <c r="E9" s="5" t="s">
        <v>207</v>
      </c>
      <c r="F9" s="5"/>
      <c r="G9" s="5"/>
      <c r="H9" s="5"/>
    </row>
    <row r="10" spans="2:8" ht="24" customHeight="1" x14ac:dyDescent="0.2">
      <c r="B10" s="4">
        <f t="array" ref="B10:H10">INDEX(calendar,ndx+3)</f>
        <v>46012</v>
      </c>
      <c r="C10" s="4">
        <v>46013</v>
      </c>
      <c r="D10" s="4">
        <v>46014</v>
      </c>
      <c r="E10" s="4">
        <v>46015</v>
      </c>
      <c r="F10" s="4">
        <v>46016</v>
      </c>
      <c r="G10" s="4">
        <v>46017</v>
      </c>
      <c r="H10" s="4">
        <v>46018</v>
      </c>
    </row>
    <row r="11" spans="2:8" ht="51" customHeight="1" x14ac:dyDescent="0.2">
      <c r="B11" s="5"/>
      <c r="C11" s="5"/>
      <c r="D11" s="5" t="s">
        <v>209</v>
      </c>
      <c r="E11" s="5" t="s">
        <v>203</v>
      </c>
      <c r="F11" s="5" t="s">
        <v>198</v>
      </c>
      <c r="G11" s="5"/>
      <c r="H11" s="5"/>
    </row>
    <row r="12" spans="2:8" ht="24" customHeight="1" x14ac:dyDescent="0.2">
      <c r="B12" s="4">
        <f t="array" ref="B12:H12">INDEX(calendar,ndx+4)</f>
        <v>46019</v>
      </c>
      <c r="C12" s="4">
        <v>46020</v>
      </c>
      <c r="D12" s="4">
        <v>46021</v>
      </c>
      <c r="E12" s="4">
        <v>46022</v>
      </c>
      <c r="F12" s="4">
        <v>46023</v>
      </c>
      <c r="G12" s="4">
        <v>46024</v>
      </c>
      <c r="H12" s="4">
        <v>46025</v>
      </c>
    </row>
    <row r="13" spans="2:8" ht="51" customHeight="1" x14ac:dyDescent="0.2">
      <c r="B13" s="5" t="s">
        <v>210</v>
      </c>
      <c r="C13" s="6" t="s">
        <v>211</v>
      </c>
      <c r="D13" s="6"/>
      <c r="E13" s="6" t="s">
        <v>212</v>
      </c>
      <c r="F13" s="5"/>
      <c r="G13" s="5"/>
      <c r="H13" s="5"/>
    </row>
    <row r="14" spans="2:8" ht="23.25" customHeight="1" x14ac:dyDescent="0.2">
      <c r="B14" s="4">
        <f t="array" ref="B14:H14">INDEX(calendar,ndx+5)</f>
        <v>46026</v>
      </c>
      <c r="C14" s="4">
        <v>46027</v>
      </c>
      <c r="D14" s="4">
        <v>46028</v>
      </c>
      <c r="E14" s="4">
        <v>46029</v>
      </c>
      <c r="F14" s="4">
        <v>46030</v>
      </c>
      <c r="G14" s="4">
        <v>46031</v>
      </c>
      <c r="H14" s="4">
        <v>46032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49" priority="1">
      <formula>MonthToDisplayNumber&lt;&gt;MONTH(B4)</formula>
    </cfRule>
  </conditionalFormatting>
  <conditionalFormatting sqref="B6:H6">
    <cfRule type="expression" dxfId="148" priority="6">
      <formula>MonthToDisplayNumber&lt;&gt;MONTH(B6)</formula>
    </cfRule>
  </conditionalFormatting>
  <conditionalFormatting sqref="B8:H8">
    <cfRule type="expression" dxfId="147" priority="5">
      <formula>MonthToDisplayNumber&lt;&gt;MONTH(B8)</formula>
    </cfRule>
  </conditionalFormatting>
  <conditionalFormatting sqref="B10:H10">
    <cfRule type="expression" dxfId="146" priority="4">
      <formula>MonthToDisplayNumber&lt;&gt;MONTH(B10)</formula>
    </cfRule>
  </conditionalFormatting>
  <conditionalFormatting sqref="B12:H12">
    <cfRule type="expression" dxfId="145" priority="3">
      <formula>MonthToDisplayNumber&lt;&gt;MONTH(B12)</formula>
    </cfRule>
  </conditionalFormatting>
  <conditionalFormatting sqref="B14:H14">
    <cfRule type="expression" dxfId="14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D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D00-000001000000}"/>
    <dataValidation allowBlank="1" showInputMessage="1" showErrorMessage="1" prompt="Rows 12 and 14 may contain dates for the following month if the end of this month concludes in either row" sqref="B12" xr:uid="{00000000-0002-0000-0D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D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D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D00-000005000000}"/>
    <dataValidation allowBlank="1" showInputMessage="1" showErrorMessage="1" prompt="Enter the year for this calendar month" sqref="B1" xr:uid="{00000000-0002-0000-0D00-000006000000}"/>
    <dataValidation allowBlank="1" showInputMessage="1" showErrorMessage="1" prompt="Enter daily notes in this cell. Rows 5, 7, 9, 11, 13 and 15 have cells beneath the day of the week for daily notes" sqref="B5" xr:uid="{00000000-0002-0000-0D00-000007000000}"/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3" sqref="C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46019</v>
      </c>
      <c r="C3" s="2">
        <v>46020</v>
      </c>
      <c r="D3" s="2">
        <v>46021</v>
      </c>
      <c r="E3" s="2">
        <v>46022</v>
      </c>
      <c r="F3" s="2">
        <v>46023</v>
      </c>
      <c r="G3" s="2">
        <v>46024</v>
      </c>
      <c r="H3" s="2">
        <v>46025</v>
      </c>
    </row>
    <row r="4" spans="2:8" ht="24" customHeight="1" thickTop="1" x14ac:dyDescent="0.2">
      <c r="B4" s="3">
        <f t="array" ref="B4:H4">INDEX(calendar,ndx+0)</f>
        <v>46019</v>
      </c>
      <c r="C4" s="3">
        <v>46020</v>
      </c>
      <c r="D4" s="3">
        <v>46021</v>
      </c>
      <c r="E4" s="3">
        <v>46022</v>
      </c>
      <c r="F4" s="3">
        <v>46023</v>
      </c>
      <c r="G4" s="3">
        <v>46024</v>
      </c>
      <c r="H4" s="3">
        <v>46025</v>
      </c>
    </row>
    <row r="5" spans="2:8" ht="51" customHeight="1" x14ac:dyDescent="0.2">
      <c r="B5" s="6"/>
      <c r="C5" s="6"/>
      <c r="D5" s="6"/>
      <c r="E5" s="6"/>
      <c r="F5" s="6" t="s">
        <v>219</v>
      </c>
      <c r="G5" s="6"/>
      <c r="H5" s="6"/>
    </row>
    <row r="6" spans="2:8" ht="24" customHeight="1" x14ac:dyDescent="0.2">
      <c r="B6" s="4">
        <f t="array" ref="B6:H6">INDEX(calendar,ndx+1)</f>
        <v>46026</v>
      </c>
      <c r="C6" s="4">
        <v>46027</v>
      </c>
      <c r="D6" s="4">
        <v>46028</v>
      </c>
      <c r="E6" s="4">
        <v>46029</v>
      </c>
      <c r="F6" s="4">
        <v>46030</v>
      </c>
      <c r="G6" s="4">
        <v>46031</v>
      </c>
      <c r="H6" s="4">
        <v>46032</v>
      </c>
    </row>
    <row r="7" spans="2:8" ht="51" customHeight="1" x14ac:dyDescent="0.2">
      <c r="B7" s="6"/>
      <c r="C7" s="5"/>
      <c r="D7" s="5"/>
      <c r="E7" s="5"/>
      <c r="F7" s="5"/>
      <c r="G7" s="5" t="s">
        <v>220</v>
      </c>
      <c r="H7" s="11" t="s">
        <v>221</v>
      </c>
    </row>
    <row r="8" spans="2:8" ht="24" customHeight="1" x14ac:dyDescent="0.2">
      <c r="B8" s="4">
        <f t="array" ref="B8:H8">INDEX(calendar,ndx+2)</f>
        <v>46033</v>
      </c>
      <c r="C8" s="4">
        <v>46034</v>
      </c>
      <c r="D8" s="4">
        <v>46035</v>
      </c>
      <c r="E8" s="4">
        <v>46036</v>
      </c>
      <c r="F8" s="4">
        <v>46037</v>
      </c>
      <c r="G8" s="4">
        <v>46038</v>
      </c>
      <c r="H8" s="4">
        <v>46039</v>
      </c>
    </row>
    <row r="9" spans="2:8" ht="51" customHeight="1" x14ac:dyDescent="0.2">
      <c r="B9" s="12" t="s">
        <v>206</v>
      </c>
      <c r="C9" s="11" t="s">
        <v>184</v>
      </c>
      <c r="D9" s="11" t="s">
        <v>214</v>
      </c>
      <c r="E9" s="11" t="s">
        <v>215</v>
      </c>
      <c r="F9" s="5" t="s">
        <v>216</v>
      </c>
      <c r="G9" s="5" t="s">
        <v>216</v>
      </c>
      <c r="H9" s="5" t="s">
        <v>216</v>
      </c>
    </row>
    <row r="10" spans="2:8" ht="24" customHeight="1" x14ac:dyDescent="0.2">
      <c r="B10" s="4">
        <f t="array" ref="B10:H10">INDEX(calendar,ndx+3)</f>
        <v>46040</v>
      </c>
      <c r="C10" s="4">
        <v>46041</v>
      </c>
      <c r="D10" s="4">
        <v>46042</v>
      </c>
      <c r="E10" s="4">
        <v>46043</v>
      </c>
      <c r="F10" s="4">
        <v>46044</v>
      </c>
      <c r="G10" s="4">
        <v>46045</v>
      </c>
      <c r="H10" s="4">
        <v>46046</v>
      </c>
    </row>
    <row r="11" spans="2:8" ht="51" customHeight="1" x14ac:dyDescent="0.2">
      <c r="B11" s="5" t="s">
        <v>216</v>
      </c>
      <c r="C11" s="5" t="s">
        <v>216</v>
      </c>
      <c r="D11" s="5" t="s">
        <v>216</v>
      </c>
      <c r="E11" s="5" t="s">
        <v>216</v>
      </c>
      <c r="F11" s="5" t="s">
        <v>216</v>
      </c>
      <c r="G11" s="5" t="s">
        <v>216</v>
      </c>
      <c r="H11" s="5" t="s">
        <v>216</v>
      </c>
    </row>
    <row r="12" spans="2:8" ht="24" customHeight="1" x14ac:dyDescent="0.2">
      <c r="B12" s="4">
        <f t="array" ref="B12:H12">INDEX(calendar,ndx+4)</f>
        <v>46047</v>
      </c>
      <c r="C12" s="4">
        <v>46048</v>
      </c>
      <c r="D12" s="4">
        <v>46049</v>
      </c>
      <c r="E12" s="4">
        <v>46050</v>
      </c>
      <c r="F12" s="4">
        <v>46051</v>
      </c>
      <c r="G12" s="4">
        <v>46052</v>
      </c>
      <c r="H12" s="4">
        <v>46053</v>
      </c>
    </row>
    <row r="13" spans="2:8" ht="51" customHeight="1" x14ac:dyDescent="0.2">
      <c r="B13" s="5" t="s">
        <v>216</v>
      </c>
      <c r="C13" s="6" t="s">
        <v>222</v>
      </c>
      <c r="D13" s="6" t="s">
        <v>216</v>
      </c>
      <c r="E13" s="6" t="s">
        <v>217</v>
      </c>
      <c r="F13" s="5" t="s">
        <v>216</v>
      </c>
      <c r="G13" s="5" t="s">
        <v>218</v>
      </c>
      <c r="H13" s="5"/>
    </row>
    <row r="14" spans="2:8" ht="23.25" customHeight="1" x14ac:dyDescent="0.2">
      <c r="B14" s="4">
        <f t="array" ref="B14:H14">INDEX(calendar,ndx+5)</f>
        <v>46054</v>
      </c>
      <c r="C14" s="4">
        <v>46055</v>
      </c>
      <c r="D14" s="4">
        <v>46056</v>
      </c>
      <c r="E14" s="4">
        <v>46057</v>
      </c>
      <c r="F14" s="4">
        <v>46058</v>
      </c>
      <c r="G14" s="4">
        <v>46059</v>
      </c>
      <c r="H14" s="4">
        <v>46060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43" priority="1">
      <formula>MonthToDisplayNumber&lt;&gt;MONTH(B4)</formula>
    </cfRule>
  </conditionalFormatting>
  <conditionalFormatting sqref="B6:H6">
    <cfRule type="expression" dxfId="142" priority="6">
      <formula>MonthToDisplayNumber&lt;&gt;MONTH(B6)</formula>
    </cfRule>
  </conditionalFormatting>
  <conditionalFormatting sqref="B8:H8">
    <cfRule type="expression" dxfId="141" priority="5">
      <formula>MonthToDisplayNumber&lt;&gt;MONTH(B8)</formula>
    </cfRule>
  </conditionalFormatting>
  <conditionalFormatting sqref="B10:H10">
    <cfRule type="expression" dxfId="140" priority="4">
      <formula>MonthToDisplayNumber&lt;&gt;MONTH(B10)</formula>
    </cfRule>
  </conditionalFormatting>
  <conditionalFormatting sqref="B12:H12">
    <cfRule type="expression" dxfId="139" priority="3">
      <formula>MonthToDisplayNumber&lt;&gt;MONTH(B12)</formula>
    </cfRule>
  </conditionalFormatting>
  <conditionalFormatting sqref="B14:H14">
    <cfRule type="expression" dxfId="13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E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E00-000001000000}"/>
    <dataValidation allowBlank="1" showInputMessage="1" showErrorMessage="1" prompt="Rows 12 and 14 may contain dates for the following month if the end of this month concludes in either row" sqref="B12" xr:uid="{00000000-0002-0000-0E00-000002000000}"/>
    <dataValidation allowBlank="1" showInputMessage="1" showErrorMessage="1" prompt="Enter daily notes in this cell. Rows 5, 7, 9, 11, 13 and 15 have cells beneath the day of the week for daily notes" sqref="B5" xr:uid="{00000000-0002-0000-0E00-000003000000}"/>
    <dataValidation allowBlank="1" showInputMessage="1" showErrorMessage="1" prompt="Enter the year for this calendar month" sqref="B1" xr:uid="{00000000-0002-0000-0E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E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E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E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H10" sqref="H10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7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46054</v>
      </c>
      <c r="C3" s="2">
        <v>46055</v>
      </c>
      <c r="D3" s="2">
        <v>46056</v>
      </c>
      <c r="E3" s="2">
        <v>46057</v>
      </c>
      <c r="F3" s="2">
        <v>46058</v>
      </c>
      <c r="G3" s="2">
        <v>46059</v>
      </c>
      <c r="H3" s="2">
        <v>46060</v>
      </c>
    </row>
    <row r="4" spans="2:8" ht="24" customHeight="1" thickTop="1" x14ac:dyDescent="0.2">
      <c r="B4" s="3">
        <f t="array" ref="B4:H4">INDEX(calendar,ndx+0)</f>
        <v>46054</v>
      </c>
      <c r="C4" s="3">
        <v>46055</v>
      </c>
      <c r="D4" s="3">
        <v>46056</v>
      </c>
      <c r="E4" s="3">
        <v>46057</v>
      </c>
      <c r="F4" s="3">
        <v>46058</v>
      </c>
      <c r="G4" s="3">
        <v>46059</v>
      </c>
      <c r="H4" s="3">
        <v>46060</v>
      </c>
    </row>
    <row r="5" spans="2:8" ht="51" customHeight="1" x14ac:dyDescent="0.2">
      <c r="B5" s="6"/>
      <c r="C5" s="6"/>
      <c r="D5" s="6" t="s">
        <v>228</v>
      </c>
      <c r="E5" s="6"/>
      <c r="F5" s="6"/>
      <c r="G5" s="6"/>
      <c r="H5" s="6"/>
    </row>
    <row r="6" spans="2:8" ht="24" customHeight="1" x14ac:dyDescent="0.2">
      <c r="B6" s="4">
        <f t="array" ref="B6:H6">INDEX(calendar,ndx+1)</f>
        <v>46061</v>
      </c>
      <c r="C6" s="4">
        <v>46062</v>
      </c>
      <c r="D6" s="4">
        <v>46063</v>
      </c>
      <c r="E6" s="4">
        <v>46064</v>
      </c>
      <c r="F6" s="4">
        <v>46065</v>
      </c>
      <c r="G6" s="4">
        <v>46066</v>
      </c>
      <c r="H6" s="4">
        <v>46067</v>
      </c>
    </row>
    <row r="7" spans="2:8" ht="51" customHeight="1" x14ac:dyDescent="0.2">
      <c r="B7" s="6" t="s">
        <v>228</v>
      </c>
      <c r="C7" s="5"/>
      <c r="D7" s="5" t="s">
        <v>228</v>
      </c>
      <c r="E7" s="5"/>
      <c r="F7" s="5"/>
      <c r="G7" s="5" t="s">
        <v>18</v>
      </c>
      <c r="H7" s="5" t="s">
        <v>229</v>
      </c>
    </row>
    <row r="8" spans="2:8" ht="24" customHeight="1" x14ac:dyDescent="0.2">
      <c r="B8" s="4">
        <f t="array" ref="B8:H8">INDEX(calendar,ndx+2)</f>
        <v>46068</v>
      </c>
      <c r="C8" s="4">
        <v>46069</v>
      </c>
      <c r="D8" s="4">
        <v>46070</v>
      </c>
      <c r="E8" s="4">
        <v>46071</v>
      </c>
      <c r="F8" s="4">
        <v>46072</v>
      </c>
      <c r="G8" s="4">
        <v>46073</v>
      </c>
      <c r="H8" s="4">
        <v>46074</v>
      </c>
    </row>
    <row r="9" spans="2:8" ht="51" customHeight="1" x14ac:dyDescent="0.2">
      <c r="B9" s="6"/>
      <c r="C9" s="5" t="s">
        <v>223</v>
      </c>
      <c r="D9" s="5" t="s">
        <v>224</v>
      </c>
      <c r="E9" s="5"/>
      <c r="F9" s="5" t="s">
        <v>213</v>
      </c>
      <c r="G9" s="5"/>
      <c r="H9" s="5" t="s">
        <v>234</v>
      </c>
    </row>
    <row r="10" spans="2:8" ht="24" customHeight="1" x14ac:dyDescent="0.2">
      <c r="B10" s="4">
        <f t="array" ref="B10:H10">INDEX(calendar,ndx+3)</f>
        <v>46075</v>
      </c>
      <c r="C10" s="4">
        <v>46076</v>
      </c>
      <c r="D10" s="4">
        <v>46077</v>
      </c>
      <c r="E10" s="4">
        <v>46078</v>
      </c>
      <c r="F10" s="4">
        <v>46079</v>
      </c>
      <c r="G10" s="4">
        <v>46080</v>
      </c>
      <c r="H10" s="4">
        <v>46081</v>
      </c>
    </row>
    <row r="11" spans="2:8" ht="51" customHeight="1" x14ac:dyDescent="0.2">
      <c r="B11" s="5" t="s">
        <v>230</v>
      </c>
      <c r="C11" s="5" t="s">
        <v>204</v>
      </c>
      <c r="D11" s="5" t="s">
        <v>153</v>
      </c>
      <c r="E11" s="5" t="s">
        <v>153</v>
      </c>
      <c r="F11" s="5" t="s">
        <v>153</v>
      </c>
      <c r="G11" s="5"/>
      <c r="H11" s="5" t="s">
        <v>231</v>
      </c>
    </row>
    <row r="12" spans="2:8" ht="24" customHeight="1" x14ac:dyDescent="0.2">
      <c r="B12" s="4">
        <f t="array" ref="B12:H12">INDEX(calendar,ndx+4)</f>
        <v>46082</v>
      </c>
      <c r="C12" s="4">
        <v>46083</v>
      </c>
      <c r="D12" s="4">
        <v>46084</v>
      </c>
      <c r="E12" s="4">
        <v>46085</v>
      </c>
      <c r="F12" s="4">
        <v>46086</v>
      </c>
      <c r="G12" s="4">
        <v>46087</v>
      </c>
      <c r="H12" s="4">
        <v>46088</v>
      </c>
    </row>
    <row r="13" spans="2:8" ht="51" customHeight="1" x14ac:dyDescent="0.2">
      <c r="B13" s="5"/>
      <c r="C13" s="6"/>
      <c r="D13" s="6"/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46089</v>
      </c>
      <c r="C14" s="4">
        <v>46090</v>
      </c>
      <c r="D14" s="4">
        <v>46091</v>
      </c>
      <c r="E14" s="4">
        <v>46092</v>
      </c>
      <c r="F14" s="4">
        <v>46093</v>
      </c>
      <c r="G14" s="4">
        <v>46094</v>
      </c>
      <c r="H14" s="4">
        <v>46095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37" priority="1">
      <formula>MonthToDisplayNumber&lt;&gt;MONTH(B4)</formula>
    </cfRule>
  </conditionalFormatting>
  <conditionalFormatting sqref="B6:H6">
    <cfRule type="expression" dxfId="136" priority="6">
      <formula>MonthToDisplayNumber&lt;&gt;MONTH(B6)</formula>
    </cfRule>
  </conditionalFormatting>
  <conditionalFormatting sqref="B8:H8">
    <cfRule type="expression" dxfId="135" priority="5">
      <formula>MonthToDisplayNumber&lt;&gt;MONTH(B8)</formula>
    </cfRule>
  </conditionalFormatting>
  <conditionalFormatting sqref="B10:H10">
    <cfRule type="expression" dxfId="134" priority="4">
      <formula>MonthToDisplayNumber&lt;&gt;MONTH(B10)</formula>
    </cfRule>
  </conditionalFormatting>
  <conditionalFormatting sqref="B12:H12">
    <cfRule type="expression" dxfId="133" priority="3">
      <formula>MonthToDisplayNumber&lt;&gt;MONTH(B12)</formula>
    </cfRule>
  </conditionalFormatting>
  <conditionalFormatting sqref="B14:H14">
    <cfRule type="expression" dxfId="13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F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F00-000001000000}"/>
    <dataValidation allowBlank="1" showInputMessage="1" showErrorMessage="1" prompt="Rows 12 and 14 may contain dates for the following month if the end of this month concludes in either row" sqref="B12" xr:uid="{00000000-0002-0000-0F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F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F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F00-000005000000}"/>
    <dataValidation allowBlank="1" showInputMessage="1" showErrorMessage="1" prompt="Enter the year for this calendar month" sqref="B1" xr:uid="{00000000-0002-0000-0F00-000006000000}"/>
    <dataValidation allowBlank="1" showInputMessage="1" showErrorMessage="1" prompt="Enter daily notes in this cell. Rows 5, 7, 9, 11, 13 and 15 have cells beneath the day of the week for daily notes" sqref="B5" xr:uid="{00000000-0002-0000-0F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13" sqref="E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8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46082</v>
      </c>
      <c r="C3" s="2">
        <v>46083</v>
      </c>
      <c r="D3" s="2">
        <v>46084</v>
      </c>
      <c r="E3" s="2">
        <v>46085</v>
      </c>
      <c r="F3" s="2">
        <v>46086</v>
      </c>
      <c r="G3" s="2">
        <v>46087</v>
      </c>
      <c r="H3" s="2">
        <v>46088</v>
      </c>
    </row>
    <row r="4" spans="2:8" ht="24" customHeight="1" thickTop="1" x14ac:dyDescent="0.2">
      <c r="B4" s="3">
        <f t="array" ref="B4:H4">INDEX(calendar,ndx+0)</f>
        <v>46082</v>
      </c>
      <c r="C4" s="3">
        <v>46083</v>
      </c>
      <c r="D4" s="3">
        <v>46084</v>
      </c>
      <c r="E4" s="3">
        <v>46085</v>
      </c>
      <c r="F4" s="3">
        <v>46086</v>
      </c>
      <c r="G4" s="3">
        <v>46087</v>
      </c>
      <c r="H4" s="3">
        <v>46088</v>
      </c>
    </row>
    <row r="5" spans="2:8" ht="51" customHeight="1" x14ac:dyDescent="0.2">
      <c r="B5" s="6" t="s">
        <v>231</v>
      </c>
      <c r="C5" s="6" t="s">
        <v>231</v>
      </c>
      <c r="D5" s="6" t="s">
        <v>231</v>
      </c>
      <c r="E5" s="6" t="s">
        <v>231</v>
      </c>
      <c r="F5" s="6" t="s">
        <v>231</v>
      </c>
      <c r="G5" s="6" t="s">
        <v>231</v>
      </c>
      <c r="H5" s="6" t="s">
        <v>232</v>
      </c>
    </row>
    <row r="6" spans="2:8" ht="24" customHeight="1" x14ac:dyDescent="0.2">
      <c r="B6" s="4">
        <f t="array" ref="B6:H6">INDEX(calendar,ndx+1)</f>
        <v>46089</v>
      </c>
      <c r="C6" s="4">
        <v>46090</v>
      </c>
      <c r="D6" s="4">
        <v>46091</v>
      </c>
      <c r="E6" s="4">
        <v>46092</v>
      </c>
      <c r="F6" s="4">
        <v>46093</v>
      </c>
      <c r="G6" s="4">
        <v>46094</v>
      </c>
      <c r="H6" s="4">
        <v>46095</v>
      </c>
    </row>
    <row r="7" spans="2:8" ht="51" customHeight="1" x14ac:dyDescent="0.2">
      <c r="B7" s="6" t="s">
        <v>232</v>
      </c>
      <c r="C7" s="5" t="s">
        <v>231</v>
      </c>
      <c r="D7" s="5" t="s">
        <v>233</v>
      </c>
      <c r="E7" s="5"/>
      <c r="F7" s="5"/>
      <c r="G7" s="5" t="s">
        <v>111</v>
      </c>
      <c r="H7" s="5" t="s">
        <v>111</v>
      </c>
    </row>
    <row r="8" spans="2:8" ht="24" customHeight="1" x14ac:dyDescent="0.2">
      <c r="B8" s="4">
        <f t="array" ref="B8:H8">INDEX(calendar,ndx+2)</f>
        <v>46096</v>
      </c>
      <c r="C8" s="4">
        <v>46097</v>
      </c>
      <c r="D8" s="4">
        <v>46098</v>
      </c>
      <c r="E8" s="4">
        <v>46099</v>
      </c>
      <c r="F8" s="4">
        <v>46100</v>
      </c>
      <c r="G8" s="4">
        <v>46101</v>
      </c>
      <c r="H8" s="4">
        <v>46102</v>
      </c>
    </row>
    <row r="9" spans="2:8" ht="51" customHeight="1" x14ac:dyDescent="0.2">
      <c r="B9" s="6" t="s">
        <v>158</v>
      </c>
      <c r="C9" s="5" t="s">
        <v>158</v>
      </c>
      <c r="D9" s="5" t="s">
        <v>158</v>
      </c>
      <c r="E9" s="5" t="s">
        <v>158</v>
      </c>
      <c r="F9" s="5" t="s">
        <v>111</v>
      </c>
      <c r="G9" s="5" t="s">
        <v>111</v>
      </c>
      <c r="H9" s="5" t="s">
        <v>111</v>
      </c>
    </row>
    <row r="10" spans="2:8" ht="24" customHeight="1" x14ac:dyDescent="0.2">
      <c r="B10" s="4">
        <f t="array" ref="B10:H10">INDEX(calendar,ndx+3)</f>
        <v>46103</v>
      </c>
      <c r="C10" s="4">
        <v>46104</v>
      </c>
      <c r="D10" s="4">
        <v>46105</v>
      </c>
      <c r="E10" s="4">
        <v>46106</v>
      </c>
      <c r="F10" s="4">
        <v>46107</v>
      </c>
      <c r="G10" s="4">
        <v>46108</v>
      </c>
      <c r="H10" s="4">
        <v>46109</v>
      </c>
    </row>
    <row r="11" spans="2:8" ht="51" customHeight="1" x14ac:dyDescent="0.2">
      <c r="B11" s="5" t="s">
        <v>158</v>
      </c>
      <c r="C11" s="5" t="s">
        <v>158</v>
      </c>
      <c r="D11" s="5" t="s">
        <v>235</v>
      </c>
      <c r="E11" s="5" t="s">
        <v>235</v>
      </c>
      <c r="F11" s="5" t="s">
        <v>236</v>
      </c>
      <c r="G11" s="5" t="s">
        <v>111</v>
      </c>
      <c r="H11" s="5" t="s">
        <v>111</v>
      </c>
    </row>
    <row r="12" spans="2:8" ht="24" customHeight="1" x14ac:dyDescent="0.2">
      <c r="B12" s="4">
        <f t="array" ref="B12:H12">INDEX(calendar,ndx+4)</f>
        <v>46110</v>
      </c>
      <c r="C12" s="4">
        <v>46111</v>
      </c>
      <c r="D12" s="4">
        <v>46112</v>
      </c>
      <c r="E12" s="4">
        <v>46113</v>
      </c>
      <c r="F12" s="4">
        <v>46114</v>
      </c>
      <c r="G12" s="4">
        <v>46115</v>
      </c>
      <c r="H12" s="4">
        <v>46116</v>
      </c>
    </row>
    <row r="13" spans="2:8" ht="51" customHeight="1" x14ac:dyDescent="0.2">
      <c r="B13" s="5" t="s">
        <v>158</v>
      </c>
      <c r="C13" s="6" t="s">
        <v>237</v>
      </c>
      <c r="D13" s="6" t="s">
        <v>238</v>
      </c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46117</v>
      </c>
      <c r="C14" s="4">
        <v>46118</v>
      </c>
      <c r="D14" s="4">
        <v>46119</v>
      </c>
      <c r="E14" s="4">
        <v>46120</v>
      </c>
      <c r="F14" s="4">
        <v>46121</v>
      </c>
      <c r="G14" s="4">
        <v>46122</v>
      </c>
      <c r="H14" s="4">
        <v>46123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31" priority="1">
      <formula>MonthToDisplayNumber&lt;&gt;MONTH(B4)</formula>
    </cfRule>
  </conditionalFormatting>
  <conditionalFormatting sqref="B6:H6">
    <cfRule type="expression" dxfId="130" priority="6">
      <formula>MonthToDisplayNumber&lt;&gt;MONTH(B6)</formula>
    </cfRule>
  </conditionalFormatting>
  <conditionalFormatting sqref="B8:H8">
    <cfRule type="expression" dxfId="129" priority="5">
      <formula>MonthToDisplayNumber&lt;&gt;MONTH(B8)</formula>
    </cfRule>
  </conditionalFormatting>
  <conditionalFormatting sqref="B10:H10">
    <cfRule type="expression" dxfId="128" priority="4">
      <formula>MonthToDisplayNumber&lt;&gt;MONTH(B10)</formula>
    </cfRule>
  </conditionalFormatting>
  <conditionalFormatting sqref="B12:H12">
    <cfRule type="expression" dxfId="127" priority="3">
      <formula>MonthToDisplayNumber&lt;&gt;MONTH(B12)</formula>
    </cfRule>
  </conditionalFormatting>
  <conditionalFormatting sqref="B14:H14">
    <cfRule type="expression" dxfId="12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0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000-000001000000}"/>
    <dataValidation allowBlank="1" showInputMessage="1" showErrorMessage="1" prompt="Rows 12 and 14 may contain dates for the following month if the end of this month concludes in either row" sqref="B12" xr:uid="{00000000-0002-0000-1000-000002000000}"/>
    <dataValidation allowBlank="1" showInputMessage="1" showErrorMessage="1" prompt="Enter daily notes in this cell. Rows 5, 7, 9, 11, 13 and 15 have cells beneath the day of the week for daily notes" sqref="B5" xr:uid="{00000000-0002-0000-1000-000003000000}"/>
    <dataValidation allowBlank="1" showInputMessage="1" showErrorMessage="1" prompt="Enter the year for this calendar month" sqref="B1" xr:uid="{00000000-0002-0000-10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0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0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0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499984740745262"/>
    <pageSetUpPr fitToPage="1"/>
  </sheetPr>
  <dimension ref="B1:H15"/>
  <sheetViews>
    <sheetView showGridLines="0" showRuler="0" topLeftCell="B2" zoomScaleNormal="100" workbookViewId="0">
      <selection activeCell="B11" sqref="B1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9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46110</v>
      </c>
      <c r="C3" s="2">
        <v>46111</v>
      </c>
      <c r="D3" s="2">
        <v>46112</v>
      </c>
      <c r="E3" s="2">
        <v>46113</v>
      </c>
      <c r="F3" s="2">
        <v>46114</v>
      </c>
      <c r="G3" s="2">
        <v>46115</v>
      </c>
      <c r="H3" s="2">
        <v>46116</v>
      </c>
    </row>
    <row r="4" spans="2:8" ht="24" customHeight="1" thickTop="1" x14ac:dyDescent="0.2">
      <c r="B4" s="3">
        <f t="array" ref="B4:H4">INDEX(calendar,ndx+0)</f>
        <v>46110</v>
      </c>
      <c r="C4" s="3">
        <v>46111</v>
      </c>
      <c r="D4" s="3">
        <v>46112</v>
      </c>
      <c r="E4" s="3">
        <v>46113</v>
      </c>
      <c r="F4" s="3">
        <v>46114</v>
      </c>
      <c r="G4" s="3">
        <v>46115</v>
      </c>
      <c r="H4" s="3">
        <v>46116</v>
      </c>
    </row>
    <row r="5" spans="2:8" ht="51" customHeight="1" x14ac:dyDescent="0.2">
      <c r="B5" s="6"/>
      <c r="C5" s="6"/>
      <c r="D5" s="6"/>
      <c r="E5" s="6" t="s">
        <v>158</v>
      </c>
      <c r="F5" s="6" t="s">
        <v>111</v>
      </c>
      <c r="G5" s="6" t="s">
        <v>260</v>
      </c>
      <c r="H5" s="6" t="s">
        <v>256</v>
      </c>
    </row>
    <row r="6" spans="2:8" ht="24" customHeight="1" x14ac:dyDescent="0.2">
      <c r="B6" s="4">
        <f t="array" ref="B6:H6">INDEX(calendar,ndx+1)</f>
        <v>46117</v>
      </c>
      <c r="C6" s="4">
        <v>46118</v>
      </c>
      <c r="D6" s="4">
        <v>46119</v>
      </c>
      <c r="E6" s="4">
        <v>46120</v>
      </c>
      <c r="F6" s="4">
        <v>46121</v>
      </c>
      <c r="G6" s="4">
        <v>46122</v>
      </c>
      <c r="H6" s="4">
        <v>46123</v>
      </c>
    </row>
    <row r="7" spans="2:8" ht="51" customHeight="1" x14ac:dyDescent="0.2">
      <c r="B7" s="6" t="s">
        <v>257</v>
      </c>
      <c r="C7" s="5" t="s">
        <v>251</v>
      </c>
      <c r="D7" s="5" t="s">
        <v>252</v>
      </c>
      <c r="E7" s="5" t="s">
        <v>226</v>
      </c>
      <c r="F7" s="5" t="s">
        <v>226</v>
      </c>
      <c r="G7" s="5" t="s">
        <v>226</v>
      </c>
      <c r="H7" s="5" t="s">
        <v>226</v>
      </c>
    </row>
    <row r="8" spans="2:8" ht="24" customHeight="1" x14ac:dyDescent="0.2">
      <c r="B8" s="4">
        <f t="array" ref="B8:H8">INDEX(calendar,ndx+2)</f>
        <v>46124</v>
      </c>
      <c r="C8" s="4">
        <v>46125</v>
      </c>
      <c r="D8" s="4">
        <v>46126</v>
      </c>
      <c r="E8" s="4">
        <v>46127</v>
      </c>
      <c r="F8" s="4">
        <v>46128</v>
      </c>
      <c r="G8" s="4">
        <v>46129</v>
      </c>
      <c r="H8" s="4">
        <v>46130</v>
      </c>
    </row>
    <row r="9" spans="2:8" ht="51" customHeight="1" x14ac:dyDescent="0.2">
      <c r="B9" s="6" t="s">
        <v>226</v>
      </c>
      <c r="C9" s="5" t="s">
        <v>226</v>
      </c>
      <c r="D9" s="5" t="s">
        <v>226</v>
      </c>
      <c r="E9" s="5" t="s">
        <v>227</v>
      </c>
      <c r="F9" s="5" t="s">
        <v>226</v>
      </c>
      <c r="G9" s="5" t="s">
        <v>259</v>
      </c>
      <c r="H9" s="5" t="s">
        <v>258</v>
      </c>
    </row>
    <row r="10" spans="2:8" ht="24" customHeight="1" x14ac:dyDescent="0.2">
      <c r="B10" s="4">
        <f t="array" ref="B10:H10">INDEX(calendar,ndx+3)</f>
        <v>46131</v>
      </c>
      <c r="C10" s="4">
        <v>46132</v>
      </c>
      <c r="D10" s="4">
        <v>46133</v>
      </c>
      <c r="E10" s="4">
        <v>46134</v>
      </c>
      <c r="F10" s="4">
        <v>46135</v>
      </c>
      <c r="G10" s="4">
        <v>46136</v>
      </c>
      <c r="H10" s="4">
        <v>46137</v>
      </c>
    </row>
    <row r="11" spans="2:8" ht="51" customHeight="1" x14ac:dyDescent="0.2">
      <c r="B11" s="5" t="s">
        <v>261</v>
      </c>
      <c r="C11" s="5" t="s">
        <v>246</v>
      </c>
      <c r="D11" s="5" t="s">
        <v>250</v>
      </c>
      <c r="E11" s="5" t="s">
        <v>250</v>
      </c>
      <c r="F11" s="5" t="s">
        <v>246</v>
      </c>
      <c r="G11" s="5" t="s">
        <v>242</v>
      </c>
      <c r="H11" s="5" t="s">
        <v>243</v>
      </c>
    </row>
    <row r="12" spans="2:8" ht="24" customHeight="1" x14ac:dyDescent="0.2">
      <c r="B12" s="4">
        <f t="array" ref="B12:H12">INDEX(calendar,ndx+4)</f>
        <v>46138</v>
      </c>
      <c r="C12" s="4">
        <v>46139</v>
      </c>
      <c r="D12" s="4">
        <v>46140</v>
      </c>
      <c r="E12" s="4">
        <v>46141</v>
      </c>
      <c r="F12" s="4">
        <v>46142</v>
      </c>
      <c r="G12" s="4">
        <v>46143</v>
      </c>
      <c r="H12" s="4">
        <v>46144</v>
      </c>
    </row>
    <row r="13" spans="2:8" ht="51" customHeight="1" x14ac:dyDescent="0.2">
      <c r="B13" s="5" t="s">
        <v>244</v>
      </c>
      <c r="C13" s="6" t="s">
        <v>245</v>
      </c>
      <c r="D13" s="6" t="s">
        <v>246</v>
      </c>
      <c r="E13" s="6" t="s">
        <v>246</v>
      </c>
      <c r="F13" s="5" t="s">
        <v>246</v>
      </c>
      <c r="G13" s="5" t="s">
        <v>226</v>
      </c>
      <c r="H13" s="5" t="s">
        <v>226</v>
      </c>
    </row>
    <row r="14" spans="2:8" ht="23.25" customHeight="1" x14ac:dyDescent="0.2">
      <c r="B14" s="4">
        <f t="array" ref="B14:H14">INDEX(calendar,ndx+5)</f>
        <v>46145</v>
      </c>
      <c r="C14" s="4">
        <v>46146</v>
      </c>
      <c r="D14" s="4">
        <v>46147</v>
      </c>
      <c r="E14" s="4">
        <v>46148</v>
      </c>
      <c r="F14" s="4">
        <v>46149</v>
      </c>
      <c r="G14" s="4">
        <v>46150</v>
      </c>
      <c r="H14" s="4">
        <v>46151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25" priority="1">
      <formula>MonthToDisplayNumber&lt;&gt;MONTH(B4)</formula>
    </cfRule>
  </conditionalFormatting>
  <conditionalFormatting sqref="B6:H6">
    <cfRule type="expression" dxfId="124" priority="6">
      <formula>MonthToDisplayNumber&lt;&gt;MONTH(B6)</formula>
    </cfRule>
  </conditionalFormatting>
  <conditionalFormatting sqref="B8:H8">
    <cfRule type="expression" dxfId="123" priority="5">
      <formula>MonthToDisplayNumber&lt;&gt;MONTH(B8)</formula>
    </cfRule>
  </conditionalFormatting>
  <conditionalFormatting sqref="B10:H10">
    <cfRule type="expression" dxfId="122" priority="4">
      <formula>MonthToDisplayNumber&lt;&gt;MONTH(B10)</formula>
    </cfRule>
  </conditionalFormatting>
  <conditionalFormatting sqref="B12:H12">
    <cfRule type="expression" dxfId="121" priority="3">
      <formula>MonthToDisplayNumber&lt;&gt;MONTH(B12)</formula>
    </cfRule>
  </conditionalFormatting>
  <conditionalFormatting sqref="B14:H14">
    <cfRule type="expression" dxfId="12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1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100-000001000000}"/>
    <dataValidation allowBlank="1" showInputMessage="1" showErrorMessage="1" prompt="Rows 12 and 14 may contain dates for the following month if the end of this month concludes in either row" sqref="B12" xr:uid="{00000000-0002-0000-11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1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1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100-000005000000}"/>
    <dataValidation allowBlank="1" showInputMessage="1" showErrorMessage="1" prompt="Enter the year for this calendar month" sqref="B1" xr:uid="{00000000-0002-0000-1100-000006000000}"/>
    <dataValidation allowBlank="1" showInputMessage="1" showErrorMessage="1" prompt="Enter daily notes in this cell. Rows 5, 7, 9, 11, 13 and 15 have cells beneath the day of the week for daily notes" sqref="B5" xr:uid="{00000000-0002-0000-11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H8" sqref="H8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10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46138</v>
      </c>
      <c r="C3" s="2">
        <v>46139</v>
      </c>
      <c r="D3" s="2">
        <v>46140</v>
      </c>
      <c r="E3" s="2">
        <v>46141</v>
      </c>
      <c r="F3" s="2">
        <v>46142</v>
      </c>
      <c r="G3" s="2">
        <v>46143</v>
      </c>
      <c r="H3" s="2">
        <v>46144</v>
      </c>
    </row>
    <row r="4" spans="2:8" ht="24" customHeight="1" thickTop="1" x14ac:dyDescent="0.2">
      <c r="B4" s="3">
        <f t="array" ref="B4:H4">INDEX(calendar,ndx+0)</f>
        <v>46138</v>
      </c>
      <c r="C4" s="3">
        <v>46139</v>
      </c>
      <c r="D4" s="3">
        <v>46140</v>
      </c>
      <c r="E4" s="3">
        <v>46141</v>
      </c>
      <c r="F4" s="3">
        <v>46142</v>
      </c>
      <c r="G4" s="3">
        <v>46143</v>
      </c>
      <c r="H4" s="3">
        <v>46144</v>
      </c>
    </row>
    <row r="5" spans="2:8" ht="51" customHeight="1" x14ac:dyDescent="0.2">
      <c r="B5" s="6"/>
      <c r="C5" s="6"/>
      <c r="D5" s="6"/>
      <c r="E5" s="6"/>
      <c r="F5" s="6"/>
      <c r="G5" s="6" t="s">
        <v>247</v>
      </c>
      <c r="H5" s="6" t="s">
        <v>247</v>
      </c>
    </row>
    <row r="6" spans="2:8" ht="24" customHeight="1" x14ac:dyDescent="0.2">
      <c r="B6" s="4">
        <f t="array" ref="B6:H6">INDEX(calendar,ndx+1)</f>
        <v>46145</v>
      </c>
      <c r="C6" s="4">
        <v>46146</v>
      </c>
      <c r="D6" s="4">
        <v>46147</v>
      </c>
      <c r="E6" s="4">
        <v>46148</v>
      </c>
      <c r="F6" s="4">
        <v>46149</v>
      </c>
      <c r="G6" s="4">
        <v>46150</v>
      </c>
      <c r="H6" s="4">
        <v>46151</v>
      </c>
    </row>
    <row r="7" spans="2:8" ht="51" customHeight="1" x14ac:dyDescent="0.2">
      <c r="B7" s="6" t="s">
        <v>262</v>
      </c>
      <c r="C7" s="5" t="s">
        <v>273</v>
      </c>
      <c r="D7" s="5" t="s">
        <v>274</v>
      </c>
      <c r="E7" s="5" t="s">
        <v>275</v>
      </c>
      <c r="F7" s="5" t="s">
        <v>264</v>
      </c>
      <c r="G7" s="5" t="s">
        <v>270</v>
      </c>
      <c r="H7" s="5" t="s">
        <v>270</v>
      </c>
    </row>
    <row r="8" spans="2:8" ht="24" customHeight="1" x14ac:dyDescent="0.2">
      <c r="B8" s="4">
        <f t="array" ref="B8:H8">INDEX(calendar,ndx+2)</f>
        <v>46152</v>
      </c>
      <c r="C8" s="4">
        <v>46153</v>
      </c>
      <c r="D8" s="4">
        <v>46154</v>
      </c>
      <c r="E8" s="4">
        <v>46155</v>
      </c>
      <c r="F8" s="4">
        <v>46156</v>
      </c>
      <c r="G8" s="4">
        <v>46157</v>
      </c>
      <c r="H8" s="4">
        <v>46158</v>
      </c>
    </row>
    <row r="9" spans="2:8" ht="51" customHeight="1" x14ac:dyDescent="0.2">
      <c r="B9" s="6" t="s">
        <v>283</v>
      </c>
      <c r="C9" s="5" t="s">
        <v>263</v>
      </c>
      <c r="D9" s="5" t="s">
        <v>264</v>
      </c>
      <c r="E9" s="5" t="s">
        <v>276</v>
      </c>
      <c r="F9" s="5" t="s">
        <v>285</v>
      </c>
      <c r="G9" s="5" t="s">
        <v>286</v>
      </c>
      <c r="H9" s="5" t="s">
        <v>286</v>
      </c>
    </row>
    <row r="10" spans="2:8" ht="24" customHeight="1" x14ac:dyDescent="0.2">
      <c r="B10" s="4">
        <f t="array" ref="B10:H10">INDEX(calendar,ndx+3)</f>
        <v>46159</v>
      </c>
      <c r="C10" s="4">
        <v>46160</v>
      </c>
      <c r="D10" s="4">
        <v>46161</v>
      </c>
      <c r="E10" s="4">
        <v>46162</v>
      </c>
      <c r="F10" s="4">
        <v>46163</v>
      </c>
      <c r="G10" s="4">
        <v>46164</v>
      </c>
      <c r="H10" s="4">
        <v>46165</v>
      </c>
    </row>
    <row r="11" spans="2:8" ht="51" customHeight="1" x14ac:dyDescent="0.2">
      <c r="B11" s="5" t="s">
        <v>287</v>
      </c>
      <c r="C11" s="5" t="s">
        <v>288</v>
      </c>
      <c r="D11" s="5" t="s">
        <v>272</v>
      </c>
      <c r="E11" s="5" t="s">
        <v>278</v>
      </c>
      <c r="F11" s="5" t="s">
        <v>265</v>
      </c>
      <c r="G11" s="5" t="s">
        <v>271</v>
      </c>
      <c r="H11" s="5" t="s">
        <v>265</v>
      </c>
    </row>
    <row r="12" spans="2:8" ht="24" customHeight="1" x14ac:dyDescent="0.2">
      <c r="B12" s="4">
        <f t="array" ref="B12:H12">INDEX(calendar,ndx+4)</f>
        <v>46166</v>
      </c>
      <c r="C12" s="4">
        <v>46167</v>
      </c>
      <c r="D12" s="4">
        <v>46168</v>
      </c>
      <c r="E12" s="4">
        <v>46169</v>
      </c>
      <c r="F12" s="4">
        <v>46170</v>
      </c>
      <c r="G12" s="4">
        <v>46171</v>
      </c>
      <c r="H12" s="4">
        <v>46172</v>
      </c>
    </row>
    <row r="13" spans="2:8" ht="51" customHeight="1" x14ac:dyDescent="0.2">
      <c r="B13" s="5" t="s">
        <v>265</v>
      </c>
      <c r="C13" s="5" t="s">
        <v>284</v>
      </c>
      <c r="D13" s="5" t="s">
        <v>266</v>
      </c>
      <c r="E13" s="5" t="s">
        <v>266</v>
      </c>
      <c r="F13" s="5" t="s">
        <v>266</v>
      </c>
      <c r="G13" s="5" t="s">
        <v>266</v>
      </c>
      <c r="H13" s="5" t="s">
        <v>266</v>
      </c>
    </row>
    <row r="14" spans="2:8" ht="23.25" customHeight="1" x14ac:dyDescent="0.2">
      <c r="B14" s="4">
        <f t="array" ref="B14:H14">INDEX(calendar,ndx+5)</f>
        <v>46173</v>
      </c>
      <c r="C14" s="4">
        <v>46174</v>
      </c>
      <c r="D14" s="4">
        <v>46175</v>
      </c>
      <c r="E14" s="4">
        <v>46176</v>
      </c>
      <c r="F14" s="4">
        <v>46177</v>
      </c>
      <c r="G14" s="4">
        <v>46178</v>
      </c>
      <c r="H14" s="4">
        <v>46179</v>
      </c>
    </row>
    <row r="15" spans="2:8" ht="51" customHeight="1" x14ac:dyDescent="0.2">
      <c r="B15" s="5" t="s">
        <v>266</v>
      </c>
      <c r="C15" s="5"/>
      <c r="D15" s="5"/>
      <c r="E15" s="5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19" priority="1">
      <formula>MonthToDisplayNumber&lt;&gt;MONTH(B4)</formula>
    </cfRule>
  </conditionalFormatting>
  <conditionalFormatting sqref="B6:H6">
    <cfRule type="expression" dxfId="118" priority="6">
      <formula>MonthToDisplayNumber&lt;&gt;MONTH(B6)</formula>
    </cfRule>
  </conditionalFormatting>
  <conditionalFormatting sqref="B8:H8">
    <cfRule type="expression" dxfId="117" priority="5">
      <formula>MonthToDisplayNumber&lt;&gt;MONTH(B8)</formula>
    </cfRule>
  </conditionalFormatting>
  <conditionalFormatting sqref="B10:H10">
    <cfRule type="expression" dxfId="116" priority="4">
      <formula>MonthToDisplayNumber&lt;&gt;MONTH(B10)</formula>
    </cfRule>
  </conditionalFormatting>
  <conditionalFormatting sqref="B12:H12">
    <cfRule type="expression" dxfId="115" priority="3">
      <formula>MonthToDisplayNumber&lt;&gt;MONTH(B12)</formula>
    </cfRule>
  </conditionalFormatting>
  <conditionalFormatting sqref="B14:H14">
    <cfRule type="expression" dxfId="11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2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200-000001000000}"/>
    <dataValidation allowBlank="1" showInputMessage="1" showErrorMessage="1" prompt="Rows 12 and 14 may contain dates for the following month if the end of this month concludes in either row" sqref="B12" xr:uid="{00000000-0002-0000-1200-000002000000}"/>
    <dataValidation allowBlank="1" showInputMessage="1" showErrorMessage="1" prompt="Enter daily notes in this cell. Rows 5, 7, 9, 11, 13 and 15 have cells beneath the day of the week for daily notes" sqref="B5" xr:uid="{00000000-0002-0000-1200-000003000000}"/>
    <dataValidation allowBlank="1" showInputMessage="1" showErrorMessage="1" prompt="Enter the year for this calendar month" sqref="B1" xr:uid="{00000000-0002-0000-12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2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2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2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L8" sqref="L8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46173</v>
      </c>
      <c r="C3" s="2">
        <v>46174</v>
      </c>
      <c r="D3" s="2">
        <v>46175</v>
      </c>
      <c r="E3" s="2">
        <v>46176</v>
      </c>
      <c r="F3" s="2">
        <v>46177</v>
      </c>
      <c r="G3" s="2">
        <v>46178</v>
      </c>
      <c r="H3" s="2">
        <v>46179</v>
      </c>
    </row>
    <row r="4" spans="2:8" ht="24" customHeight="1" thickTop="1" x14ac:dyDescent="0.2">
      <c r="B4" s="3">
        <f t="array" ref="B4:H4">INDEX(calendar,ndx+0)</f>
        <v>46173</v>
      </c>
      <c r="C4" s="3">
        <v>46174</v>
      </c>
      <c r="D4" s="3">
        <v>46175</v>
      </c>
      <c r="E4" s="3">
        <v>46176</v>
      </c>
      <c r="F4" s="3">
        <v>46177</v>
      </c>
      <c r="G4" s="3">
        <v>46178</v>
      </c>
      <c r="H4" s="3">
        <v>46179</v>
      </c>
    </row>
    <row r="5" spans="2:8" ht="51" customHeight="1" x14ac:dyDescent="0.2">
      <c r="B5" s="6"/>
      <c r="C5" s="6" t="s">
        <v>266</v>
      </c>
      <c r="D5" s="6" t="s">
        <v>266</v>
      </c>
      <c r="E5" s="6" t="s">
        <v>267</v>
      </c>
      <c r="F5" s="6" t="s">
        <v>268</v>
      </c>
      <c r="G5" s="6" t="s">
        <v>268</v>
      </c>
      <c r="H5" s="6" t="s">
        <v>268</v>
      </c>
    </row>
    <row r="6" spans="2:8" ht="24" customHeight="1" x14ac:dyDescent="0.2">
      <c r="B6" s="4">
        <f t="array" ref="B6:H6">INDEX(calendar,ndx+1)</f>
        <v>46180</v>
      </c>
      <c r="C6" s="4">
        <v>46181</v>
      </c>
      <c r="D6" s="4">
        <v>46182</v>
      </c>
      <c r="E6" s="4">
        <v>46183</v>
      </c>
      <c r="F6" s="4">
        <v>46184</v>
      </c>
      <c r="G6" s="4">
        <v>46185</v>
      </c>
      <c r="H6" s="4">
        <v>46186</v>
      </c>
    </row>
    <row r="7" spans="2:8" ht="51" customHeight="1" x14ac:dyDescent="0.2">
      <c r="B7" s="6" t="s">
        <v>269</v>
      </c>
      <c r="C7" s="5" t="s">
        <v>241</v>
      </c>
      <c r="D7" s="5" t="s">
        <v>240</v>
      </c>
      <c r="E7" s="5" t="s">
        <v>239</v>
      </c>
      <c r="F7" s="5" t="s">
        <v>240</v>
      </c>
      <c r="G7" s="5"/>
      <c r="H7" s="5" t="s">
        <v>211</v>
      </c>
    </row>
    <row r="8" spans="2:8" ht="24" customHeight="1" x14ac:dyDescent="0.2">
      <c r="B8" s="4">
        <f t="array" ref="B8:H8">INDEX(calendar,ndx+2)</f>
        <v>46187</v>
      </c>
      <c r="C8" s="4">
        <v>46188</v>
      </c>
      <c r="D8" s="4">
        <v>46189</v>
      </c>
      <c r="E8" s="4">
        <v>46190</v>
      </c>
      <c r="F8" s="4">
        <v>46191</v>
      </c>
      <c r="G8" s="4">
        <v>46192</v>
      </c>
      <c r="H8" s="4">
        <v>46193</v>
      </c>
    </row>
    <row r="9" spans="2:8" ht="51" customHeight="1" x14ac:dyDescent="0.2">
      <c r="B9" s="6"/>
      <c r="C9" s="5"/>
      <c r="D9" s="5"/>
      <c r="E9" s="5"/>
      <c r="F9" s="5" t="s">
        <v>211</v>
      </c>
      <c r="G9" s="5"/>
      <c r="H9" s="5"/>
    </row>
    <row r="10" spans="2:8" ht="24" customHeight="1" x14ac:dyDescent="0.2">
      <c r="B10" s="4">
        <f t="array" ref="B10:H10">INDEX(calendar,ndx+3)</f>
        <v>46194</v>
      </c>
      <c r="C10" s="4">
        <v>46195</v>
      </c>
      <c r="D10" s="4">
        <v>46196</v>
      </c>
      <c r="E10" s="4">
        <v>46197</v>
      </c>
      <c r="F10" s="4">
        <v>46198</v>
      </c>
      <c r="G10" s="4">
        <v>46199</v>
      </c>
      <c r="H10" s="4">
        <v>46200</v>
      </c>
    </row>
    <row r="11" spans="2:8" ht="51" customHeight="1" x14ac:dyDescent="0.2">
      <c r="B11" s="5" t="s">
        <v>211</v>
      </c>
      <c r="C11" s="5"/>
      <c r="D11" s="5"/>
      <c r="E11" s="5" t="s">
        <v>211</v>
      </c>
      <c r="F11" s="5"/>
      <c r="G11" s="5" t="s">
        <v>211</v>
      </c>
      <c r="H11" s="6" t="s">
        <v>277</v>
      </c>
    </row>
    <row r="12" spans="2:8" ht="24" customHeight="1" x14ac:dyDescent="0.2">
      <c r="B12" s="4">
        <f t="array" ref="B12:H12">INDEX(calendar,ndx+4)</f>
        <v>46201</v>
      </c>
      <c r="C12" s="4">
        <v>46202</v>
      </c>
      <c r="D12" s="4">
        <v>46203</v>
      </c>
      <c r="E12" s="4">
        <v>46204</v>
      </c>
      <c r="F12" s="4">
        <v>46205</v>
      </c>
      <c r="G12" s="4">
        <v>46206</v>
      </c>
      <c r="H12" s="4">
        <v>46207</v>
      </c>
    </row>
    <row r="13" spans="2:8" ht="51" customHeight="1" x14ac:dyDescent="0.2">
      <c r="B13" s="5"/>
      <c r="C13" s="6"/>
      <c r="D13" s="6" t="s">
        <v>18</v>
      </c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46208</v>
      </c>
      <c r="C14" s="4">
        <v>46209</v>
      </c>
      <c r="D14" s="4">
        <v>46210</v>
      </c>
      <c r="E14" s="4">
        <v>46211</v>
      </c>
      <c r="F14" s="4">
        <v>46212</v>
      </c>
      <c r="G14" s="4">
        <v>46213</v>
      </c>
      <c r="H14" s="4">
        <v>46214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13" priority="1">
      <formula>MonthToDisplayNumber&lt;&gt;MONTH(B4)</formula>
    </cfRule>
  </conditionalFormatting>
  <conditionalFormatting sqref="B6:H6">
    <cfRule type="expression" dxfId="112" priority="6">
      <formula>MonthToDisplayNumber&lt;&gt;MONTH(B6)</formula>
    </cfRule>
  </conditionalFormatting>
  <conditionalFormatting sqref="B8:H8">
    <cfRule type="expression" dxfId="111" priority="5">
      <formula>MonthToDisplayNumber&lt;&gt;MONTH(B8)</formula>
    </cfRule>
  </conditionalFormatting>
  <conditionalFormatting sqref="B10:H10">
    <cfRule type="expression" dxfId="110" priority="4">
      <formula>MonthToDisplayNumber&lt;&gt;MONTH(B10)</formula>
    </cfRule>
  </conditionalFormatting>
  <conditionalFormatting sqref="B12:H12">
    <cfRule type="expression" dxfId="109" priority="3">
      <formula>MonthToDisplayNumber&lt;&gt;MONTH(B12)</formula>
    </cfRule>
  </conditionalFormatting>
  <conditionalFormatting sqref="B14:H14">
    <cfRule type="expression" dxfId="10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3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300-000001000000}"/>
    <dataValidation allowBlank="1" showInputMessage="1" showErrorMessage="1" prompt="Rows 12 and 14 may contain dates for the following month if the end of this month concludes in either row" sqref="B12" xr:uid="{00000000-0002-0000-13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3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3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300-000005000000}"/>
    <dataValidation allowBlank="1" showInputMessage="1" showErrorMessage="1" prompt="Enter the year for this calendar month" sqref="B1" xr:uid="{00000000-0002-0000-1300-000006000000}"/>
    <dataValidation allowBlank="1" showInputMessage="1" showErrorMessage="1" prompt="Enter daily notes in this cell. Rows 5, 7, 9, 11, 13 and 15 have cells beneath the day of the week for daily notes" sqref="B5" xr:uid="{00000000-0002-0000-13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13" sqref="E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12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46201</v>
      </c>
      <c r="C3" s="2">
        <v>46202</v>
      </c>
      <c r="D3" s="2">
        <v>46203</v>
      </c>
      <c r="E3" s="2">
        <v>46204</v>
      </c>
      <c r="F3" s="2">
        <v>46205</v>
      </c>
      <c r="G3" s="2">
        <v>46206</v>
      </c>
      <c r="H3" s="2">
        <v>46207</v>
      </c>
    </row>
    <row r="4" spans="2:8" ht="24" customHeight="1" thickTop="1" x14ac:dyDescent="0.2">
      <c r="B4" s="3">
        <f t="array" ref="B4:H4">INDEX(calendar,ndx+0)</f>
        <v>46201</v>
      </c>
      <c r="C4" s="3">
        <v>46202</v>
      </c>
      <c r="D4" s="3">
        <v>46203</v>
      </c>
      <c r="E4" s="3">
        <v>46204</v>
      </c>
      <c r="F4" s="3">
        <v>46205</v>
      </c>
      <c r="G4" s="3">
        <v>46206</v>
      </c>
      <c r="H4" s="3">
        <v>46207</v>
      </c>
    </row>
    <row r="5" spans="2:8" ht="51" customHeight="1" x14ac:dyDescent="0.2">
      <c r="B5" s="6"/>
      <c r="C5" s="6"/>
      <c r="D5" s="6"/>
      <c r="E5" s="6" t="s">
        <v>289</v>
      </c>
      <c r="F5" s="6" t="s">
        <v>211</v>
      </c>
      <c r="G5" s="6"/>
      <c r="H5" s="6" t="s">
        <v>324</v>
      </c>
    </row>
    <row r="6" spans="2:8" ht="24" customHeight="1" x14ac:dyDescent="0.2">
      <c r="B6" s="4">
        <f t="array" ref="B6:H6">INDEX(calendar,ndx+1)</f>
        <v>46208</v>
      </c>
      <c r="C6" s="4">
        <v>46209</v>
      </c>
      <c r="D6" s="4">
        <v>46210</v>
      </c>
      <c r="E6" s="4">
        <v>46211</v>
      </c>
      <c r="F6" s="4">
        <v>46212</v>
      </c>
      <c r="G6" s="4">
        <v>46213</v>
      </c>
      <c r="H6" s="4">
        <v>46214</v>
      </c>
    </row>
    <row r="7" spans="2:8" ht="51" customHeight="1" x14ac:dyDescent="0.2">
      <c r="B7" s="6" t="s">
        <v>325</v>
      </c>
      <c r="C7" s="5"/>
      <c r="D7" s="5" t="s">
        <v>211</v>
      </c>
      <c r="E7" s="5"/>
      <c r="F7" s="5" t="s">
        <v>296</v>
      </c>
      <c r="G7" s="5" t="s">
        <v>297</v>
      </c>
      <c r="H7" s="5" t="s">
        <v>211</v>
      </c>
    </row>
    <row r="8" spans="2:8" ht="24" customHeight="1" x14ac:dyDescent="0.2">
      <c r="B8" s="4">
        <f t="array" ref="B8:H8">INDEX(calendar,ndx+2)</f>
        <v>46215</v>
      </c>
      <c r="C8" s="4">
        <v>46216</v>
      </c>
      <c r="D8" s="4">
        <v>46217</v>
      </c>
      <c r="E8" s="4">
        <v>46218</v>
      </c>
      <c r="F8" s="4">
        <v>46219</v>
      </c>
      <c r="G8" s="4">
        <v>46220</v>
      </c>
      <c r="H8" s="4">
        <v>46221</v>
      </c>
    </row>
    <row r="9" spans="2:8" ht="51" customHeight="1" x14ac:dyDescent="0.2">
      <c r="B9" s="6"/>
      <c r="C9" s="5"/>
      <c r="D9" s="5" t="s">
        <v>298</v>
      </c>
      <c r="E9" s="5" t="s">
        <v>298</v>
      </c>
      <c r="F9" s="5" t="s">
        <v>298</v>
      </c>
      <c r="G9" s="5" t="s">
        <v>298</v>
      </c>
      <c r="H9" s="5" t="s">
        <v>298</v>
      </c>
    </row>
    <row r="10" spans="2:8" ht="24" customHeight="1" x14ac:dyDescent="0.2">
      <c r="B10" s="4">
        <f t="array" ref="B10:H10">INDEX(calendar,ndx+3)</f>
        <v>46222</v>
      </c>
      <c r="C10" s="4">
        <v>46223</v>
      </c>
      <c r="D10" s="4">
        <v>46224</v>
      </c>
      <c r="E10" s="4">
        <v>46225</v>
      </c>
      <c r="F10" s="4">
        <v>46226</v>
      </c>
      <c r="G10" s="4">
        <v>46227</v>
      </c>
      <c r="H10" s="4">
        <v>46228</v>
      </c>
    </row>
    <row r="11" spans="2:8" ht="51" customHeight="1" x14ac:dyDescent="0.2">
      <c r="B11" s="5" t="s">
        <v>326</v>
      </c>
      <c r="C11" s="5" t="s">
        <v>327</v>
      </c>
      <c r="D11" s="5" t="s">
        <v>327</v>
      </c>
      <c r="E11" s="5" t="s">
        <v>298</v>
      </c>
      <c r="F11" s="5" t="s">
        <v>319</v>
      </c>
      <c r="G11" s="5" t="s">
        <v>316</v>
      </c>
      <c r="H11" s="5" t="s">
        <v>315</v>
      </c>
    </row>
    <row r="12" spans="2:8" ht="24" customHeight="1" x14ac:dyDescent="0.2">
      <c r="B12" s="4">
        <f t="array" ref="B12:H12">INDEX(calendar,ndx+4)</f>
        <v>46229</v>
      </c>
      <c r="C12" s="4">
        <v>46230</v>
      </c>
      <c r="D12" s="4">
        <v>46231</v>
      </c>
      <c r="E12" s="4">
        <v>46232</v>
      </c>
      <c r="F12" s="4">
        <v>46233</v>
      </c>
      <c r="G12" s="4">
        <v>46234</v>
      </c>
      <c r="H12" s="4">
        <v>46235</v>
      </c>
    </row>
    <row r="13" spans="2:8" ht="51" customHeight="1" x14ac:dyDescent="0.2">
      <c r="B13" s="5" t="s">
        <v>317</v>
      </c>
      <c r="C13" s="6" t="s">
        <v>318</v>
      </c>
      <c r="D13" s="6" t="s">
        <v>320</v>
      </c>
      <c r="E13" s="6" t="s">
        <v>320</v>
      </c>
      <c r="F13" s="5" t="s">
        <v>320</v>
      </c>
      <c r="G13" s="5" t="s">
        <v>321</v>
      </c>
      <c r="H13" s="5"/>
    </row>
    <row r="14" spans="2:8" ht="23.25" customHeight="1" x14ac:dyDescent="0.2">
      <c r="B14" s="4">
        <f t="array" ref="B14:H14">INDEX(calendar,ndx+5)</f>
        <v>46236</v>
      </c>
      <c r="C14" s="4">
        <v>46237</v>
      </c>
      <c r="D14" s="4">
        <v>46238</v>
      </c>
      <c r="E14" s="4">
        <v>46239</v>
      </c>
      <c r="F14" s="4">
        <v>46240</v>
      </c>
      <c r="G14" s="4">
        <v>46241</v>
      </c>
      <c r="H14" s="4">
        <v>46242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07" priority="1">
      <formula>MonthToDisplayNumber&lt;&gt;MONTH(B4)</formula>
    </cfRule>
  </conditionalFormatting>
  <conditionalFormatting sqref="B6:H6">
    <cfRule type="expression" dxfId="106" priority="6">
      <formula>MonthToDisplayNumber&lt;&gt;MONTH(B6)</formula>
    </cfRule>
  </conditionalFormatting>
  <conditionalFormatting sqref="B8:H8">
    <cfRule type="expression" dxfId="105" priority="5">
      <formula>MonthToDisplayNumber&lt;&gt;MONTH(B8)</formula>
    </cfRule>
  </conditionalFormatting>
  <conditionalFormatting sqref="B10:H10">
    <cfRule type="expression" dxfId="104" priority="4">
      <formula>MonthToDisplayNumber&lt;&gt;MONTH(B10)</formula>
    </cfRule>
  </conditionalFormatting>
  <conditionalFormatting sqref="B12:H12">
    <cfRule type="expression" dxfId="103" priority="3">
      <formula>MonthToDisplayNumber&lt;&gt;MONTH(B12)</formula>
    </cfRule>
  </conditionalFormatting>
  <conditionalFormatting sqref="B14:H14">
    <cfRule type="expression" dxfId="10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4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400-000001000000}"/>
    <dataValidation allowBlank="1" showInputMessage="1" showErrorMessage="1" prompt="Rows 12 and 14 may contain dates for the following month if the end of this month concludes in either row" sqref="B12" xr:uid="{00000000-0002-0000-1400-000002000000}"/>
    <dataValidation allowBlank="1" showInputMessage="1" showErrorMessage="1" prompt="Enter daily notes in this cell. Rows 5, 7, 9, 11, 13 and 15 have cells beneath the day of the week for daily notes" sqref="B5" xr:uid="{00000000-0002-0000-1400-000003000000}"/>
    <dataValidation allowBlank="1" showInputMessage="1" showErrorMessage="1" prompt="Enter the year for this calendar month" sqref="B1" xr:uid="{00000000-0002-0000-14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4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4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4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8" fitToHeight="0" orientation="landscape" r:id="rId1"/>
  <headerFooter differentFirst="1">
    <oddFooter>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E7" sqref="E7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13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46229</v>
      </c>
      <c r="C3" s="2">
        <v>46230</v>
      </c>
      <c r="D3" s="2">
        <v>46231</v>
      </c>
      <c r="E3" s="2">
        <v>46232</v>
      </c>
      <c r="F3" s="2">
        <v>46233</v>
      </c>
      <c r="G3" s="2">
        <v>46234</v>
      </c>
      <c r="H3" s="2">
        <v>46235</v>
      </c>
    </row>
    <row r="4" spans="2:8" ht="24" customHeight="1" thickTop="1" x14ac:dyDescent="0.2">
      <c r="B4" s="3">
        <f t="array" ref="B4:H4">INDEX(calendar,ndx+0)</f>
        <v>46229</v>
      </c>
      <c r="C4" s="3">
        <v>46230</v>
      </c>
      <c r="D4" s="3">
        <v>46231</v>
      </c>
      <c r="E4" s="3">
        <v>46232</v>
      </c>
      <c r="F4" s="3">
        <v>46233</v>
      </c>
      <c r="G4" s="3">
        <v>46234</v>
      </c>
      <c r="H4" s="3">
        <v>46235</v>
      </c>
    </row>
    <row r="5" spans="2:8" ht="51" customHeight="1" x14ac:dyDescent="0.2">
      <c r="B5" s="6"/>
      <c r="C5" s="6"/>
      <c r="D5" s="6"/>
      <c r="E5" s="6"/>
      <c r="F5" s="6"/>
      <c r="G5" s="6"/>
      <c r="H5" s="5" t="s">
        <v>322</v>
      </c>
    </row>
    <row r="6" spans="2:8" ht="24" customHeight="1" x14ac:dyDescent="0.2">
      <c r="B6" s="4">
        <f t="array" ref="B6:H6">INDEX(calendar,ndx+1)</f>
        <v>46236</v>
      </c>
      <c r="C6" s="4">
        <v>46237</v>
      </c>
      <c r="D6" s="4">
        <v>46238</v>
      </c>
      <c r="E6" s="4">
        <v>46239</v>
      </c>
      <c r="F6" s="4">
        <v>46240</v>
      </c>
      <c r="G6" s="4">
        <v>46241</v>
      </c>
      <c r="H6" s="4">
        <v>46242</v>
      </c>
    </row>
    <row r="7" spans="2:8" ht="51" customHeight="1" x14ac:dyDescent="0.2">
      <c r="B7" s="6" t="s">
        <v>336</v>
      </c>
      <c r="C7" s="5" t="s">
        <v>323</v>
      </c>
      <c r="D7" s="5" t="s">
        <v>291</v>
      </c>
      <c r="E7" s="5" t="s">
        <v>338</v>
      </c>
      <c r="F7" s="5"/>
      <c r="G7" s="5" t="s">
        <v>328</v>
      </c>
      <c r="H7" s="5" t="s">
        <v>291</v>
      </c>
    </row>
    <row r="8" spans="2:8" ht="24" customHeight="1" x14ac:dyDescent="0.2">
      <c r="B8" s="4">
        <f t="array" ref="B8:H8">INDEX(calendar,ndx+2)</f>
        <v>46243</v>
      </c>
      <c r="C8" s="4">
        <v>46244</v>
      </c>
      <c r="D8" s="4">
        <v>46245</v>
      </c>
      <c r="E8" s="4">
        <v>46246</v>
      </c>
      <c r="F8" s="4">
        <v>46247</v>
      </c>
      <c r="G8" s="4">
        <v>46248</v>
      </c>
      <c r="H8" s="4">
        <v>46249</v>
      </c>
    </row>
    <row r="9" spans="2:8" ht="51" customHeight="1" x14ac:dyDescent="0.2">
      <c r="B9" s="6" t="s">
        <v>311</v>
      </c>
      <c r="C9" s="5" t="s">
        <v>21</v>
      </c>
      <c r="D9" s="5" t="s">
        <v>21</v>
      </c>
      <c r="E9" s="5" t="s">
        <v>21</v>
      </c>
      <c r="F9" s="5" t="s">
        <v>330</v>
      </c>
      <c r="G9" s="5" t="s">
        <v>328</v>
      </c>
      <c r="H9" s="5"/>
    </row>
    <row r="10" spans="2:8" ht="24" customHeight="1" x14ac:dyDescent="0.2">
      <c r="B10" s="4">
        <f t="array" ref="B10:H10">INDEX(calendar,ndx+3)</f>
        <v>46250</v>
      </c>
      <c r="C10" s="4">
        <v>46251</v>
      </c>
      <c r="D10" s="4">
        <v>46252</v>
      </c>
      <c r="E10" s="4">
        <v>46253</v>
      </c>
      <c r="F10" s="4">
        <v>46254</v>
      </c>
      <c r="G10" s="4">
        <v>46255</v>
      </c>
      <c r="H10" s="4">
        <v>46256</v>
      </c>
    </row>
    <row r="11" spans="2:8" ht="51" customHeight="1" x14ac:dyDescent="0.2">
      <c r="B11" s="5" t="s">
        <v>337</v>
      </c>
      <c r="C11" s="5"/>
      <c r="D11" s="5" t="s">
        <v>329</v>
      </c>
      <c r="E11" s="5"/>
      <c r="F11" s="5" t="s">
        <v>299</v>
      </c>
      <c r="G11" s="5" t="s">
        <v>314</v>
      </c>
      <c r="H11" s="5" t="s">
        <v>300</v>
      </c>
    </row>
    <row r="12" spans="2:8" ht="24" customHeight="1" x14ac:dyDescent="0.2">
      <c r="B12" s="4">
        <f t="array" ref="B12:H12">INDEX(calendar,ndx+4)</f>
        <v>46257</v>
      </c>
      <c r="C12" s="4">
        <v>46258</v>
      </c>
      <c r="D12" s="4">
        <v>46259</v>
      </c>
      <c r="E12" s="4">
        <v>46260</v>
      </c>
      <c r="F12" s="4">
        <v>46261</v>
      </c>
      <c r="G12" s="4">
        <v>46262</v>
      </c>
      <c r="H12" s="4">
        <v>46263</v>
      </c>
    </row>
    <row r="13" spans="2:8" ht="51" customHeight="1" x14ac:dyDescent="0.2">
      <c r="B13" s="5" t="s">
        <v>292</v>
      </c>
      <c r="C13" s="5" t="s">
        <v>292</v>
      </c>
      <c r="D13" s="5" t="s">
        <v>293</v>
      </c>
      <c r="E13" s="5" t="s">
        <v>294</v>
      </c>
      <c r="F13" s="5" t="s">
        <v>295</v>
      </c>
      <c r="G13" s="5" t="s">
        <v>313</v>
      </c>
      <c r="H13" s="5" t="s">
        <v>290</v>
      </c>
    </row>
    <row r="14" spans="2:8" ht="23.25" customHeight="1" x14ac:dyDescent="0.2">
      <c r="B14" s="4">
        <f t="array" ref="B14:H14">INDEX(calendar,ndx+5)</f>
        <v>46264</v>
      </c>
      <c r="C14" s="4">
        <v>46265</v>
      </c>
      <c r="D14" s="4">
        <v>46266</v>
      </c>
      <c r="E14" s="4">
        <v>46267</v>
      </c>
      <c r="F14" s="4">
        <v>46268</v>
      </c>
      <c r="G14" s="4">
        <v>46269</v>
      </c>
      <c r="H14" s="4">
        <v>46270</v>
      </c>
    </row>
    <row r="15" spans="2:8" ht="51" customHeight="1" x14ac:dyDescent="0.2">
      <c r="B15" s="5" t="s">
        <v>312</v>
      </c>
      <c r="C15" s="5" t="s">
        <v>279</v>
      </c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01" priority="1">
      <formula>MonthToDisplayNumber&lt;&gt;MONTH(B4)</formula>
    </cfRule>
  </conditionalFormatting>
  <conditionalFormatting sqref="B6:H6">
    <cfRule type="expression" dxfId="100" priority="6">
      <formula>MonthToDisplayNumber&lt;&gt;MONTH(B6)</formula>
    </cfRule>
  </conditionalFormatting>
  <conditionalFormatting sqref="B8:H8">
    <cfRule type="expression" dxfId="99" priority="5">
      <formula>MonthToDisplayNumber&lt;&gt;MONTH(B8)</formula>
    </cfRule>
  </conditionalFormatting>
  <conditionalFormatting sqref="B10:H10">
    <cfRule type="expression" dxfId="98" priority="4">
      <formula>MonthToDisplayNumber&lt;&gt;MONTH(B10)</formula>
    </cfRule>
  </conditionalFormatting>
  <conditionalFormatting sqref="B12:H12">
    <cfRule type="expression" dxfId="97" priority="3">
      <formula>MonthToDisplayNumber&lt;&gt;MONTH(B12)</formula>
    </cfRule>
  </conditionalFormatting>
  <conditionalFormatting sqref="B14:H14">
    <cfRule type="expression" dxfId="9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5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500-000001000000}"/>
    <dataValidation allowBlank="1" showInputMessage="1" showErrorMessage="1" prompt="Rows 12 and 14 may contain dates for the following month if the end of this month concludes in either row" sqref="B12" xr:uid="{00000000-0002-0000-15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5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5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500-000005000000}"/>
    <dataValidation allowBlank="1" showInputMessage="1" showErrorMessage="1" prompt="Enter the year for this calendar month" sqref="B1" xr:uid="{00000000-0002-0000-1500-000006000000}"/>
    <dataValidation allowBlank="1" showInputMessage="1" showErrorMessage="1" prompt="Enter daily notes in this cell. Rows 5, 7, 9, 11, 13 and 15 have cells beneath the day of the week for daily notes" sqref="B5" xr:uid="{00000000-0002-0000-15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499984740745262"/>
    <pageSetUpPr fitToPage="1"/>
  </sheetPr>
  <dimension ref="B1:H15"/>
  <sheetViews>
    <sheetView showGridLines="0" tabSelected="1" showRuler="0" zoomScaleNormal="100" workbookViewId="0">
      <selection activeCell="F13" sqref="F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46264</v>
      </c>
      <c r="C3" s="2">
        <v>46265</v>
      </c>
      <c r="D3" s="2">
        <v>46266</v>
      </c>
      <c r="E3" s="2">
        <v>46267</v>
      </c>
      <c r="F3" s="2">
        <v>46268</v>
      </c>
      <c r="G3" s="2">
        <v>46269</v>
      </c>
      <c r="H3" s="2">
        <v>46270</v>
      </c>
    </row>
    <row r="4" spans="2:8" ht="24" customHeight="1" thickTop="1" x14ac:dyDescent="0.2">
      <c r="B4" s="3">
        <f t="array" ref="B4:H4">INDEX(calendar,ndx+0)</f>
        <v>46264</v>
      </c>
      <c r="C4" s="3">
        <v>46265</v>
      </c>
      <c r="D4" s="3">
        <v>46266</v>
      </c>
      <c r="E4" s="3">
        <v>46267</v>
      </c>
      <c r="F4" s="3">
        <v>46268</v>
      </c>
      <c r="G4" s="3">
        <v>46269</v>
      </c>
      <c r="H4" s="3">
        <v>46270</v>
      </c>
    </row>
    <row r="5" spans="2:8" ht="51" customHeight="1" x14ac:dyDescent="0.2">
      <c r="B5" s="6"/>
      <c r="C5" s="6"/>
      <c r="D5" s="5" t="s">
        <v>48</v>
      </c>
      <c r="E5" s="5" t="s">
        <v>310</v>
      </c>
      <c r="F5" s="5" t="s">
        <v>301</v>
      </c>
      <c r="G5" s="5" t="s">
        <v>302</v>
      </c>
      <c r="H5" s="5" t="s">
        <v>303</v>
      </c>
    </row>
    <row r="6" spans="2:8" ht="24" customHeight="1" x14ac:dyDescent="0.2">
      <c r="B6" s="4">
        <f t="array" ref="B6:H6">INDEX(calendar,ndx+1)</f>
        <v>46271</v>
      </c>
      <c r="C6" s="4">
        <v>46272</v>
      </c>
      <c r="D6" s="4">
        <v>46273</v>
      </c>
      <c r="E6" s="4">
        <v>46274</v>
      </c>
      <c r="F6" s="4">
        <v>46275</v>
      </c>
      <c r="G6" s="4">
        <v>46276</v>
      </c>
      <c r="H6" s="4">
        <v>46277</v>
      </c>
    </row>
    <row r="7" spans="2:8" ht="51" customHeight="1" x14ac:dyDescent="0.2">
      <c r="B7" s="5" t="s">
        <v>304</v>
      </c>
      <c r="C7" s="5" t="s">
        <v>305</v>
      </c>
      <c r="D7" s="5" t="s">
        <v>292</v>
      </c>
      <c r="E7" s="5" t="s">
        <v>48</v>
      </c>
      <c r="F7" s="5" t="s">
        <v>48</v>
      </c>
      <c r="G7" s="5" t="s">
        <v>48</v>
      </c>
      <c r="H7" s="5" t="s">
        <v>48</v>
      </c>
    </row>
    <row r="8" spans="2:8" ht="24" customHeight="1" x14ac:dyDescent="0.2">
      <c r="B8" s="4">
        <f t="array" ref="B8:H8">INDEX(calendar,ndx+2)</f>
        <v>46278</v>
      </c>
      <c r="C8" s="4">
        <v>46279</v>
      </c>
      <c r="D8" s="4">
        <v>46280</v>
      </c>
      <c r="E8" s="4">
        <v>46281</v>
      </c>
      <c r="F8" s="4">
        <v>46282</v>
      </c>
      <c r="G8" s="4">
        <v>46283</v>
      </c>
      <c r="H8" s="4">
        <v>46284</v>
      </c>
    </row>
    <row r="9" spans="2:8" ht="51" customHeight="1" x14ac:dyDescent="0.2">
      <c r="B9" s="5" t="s">
        <v>48</v>
      </c>
      <c r="C9" s="5" t="s">
        <v>48</v>
      </c>
      <c r="D9" s="5" t="s">
        <v>48</v>
      </c>
      <c r="E9" s="5" t="s">
        <v>48</v>
      </c>
      <c r="F9" s="5" t="s">
        <v>332</v>
      </c>
      <c r="G9" s="5" t="s">
        <v>333</v>
      </c>
      <c r="H9" s="5" t="s">
        <v>334</v>
      </c>
    </row>
    <row r="10" spans="2:8" ht="24" customHeight="1" x14ac:dyDescent="0.2">
      <c r="B10" s="4">
        <f t="array" ref="B10:H10">INDEX(calendar,ndx+3)</f>
        <v>46285</v>
      </c>
      <c r="C10" s="4">
        <v>46286</v>
      </c>
      <c r="D10" s="4">
        <v>46287</v>
      </c>
      <c r="E10" s="4">
        <v>46288</v>
      </c>
      <c r="F10" s="4">
        <v>46289</v>
      </c>
      <c r="G10" s="4">
        <v>46290</v>
      </c>
      <c r="H10" s="4">
        <v>46291</v>
      </c>
    </row>
    <row r="11" spans="2:8" ht="51" customHeight="1" x14ac:dyDescent="0.2">
      <c r="B11" s="5" t="s">
        <v>335</v>
      </c>
      <c r="C11" s="5" t="s">
        <v>280</v>
      </c>
      <c r="D11" s="5" t="s">
        <v>280</v>
      </c>
      <c r="E11" s="5" t="s">
        <v>281</v>
      </c>
      <c r="F11" s="5" t="s">
        <v>281</v>
      </c>
      <c r="G11" s="5" t="s">
        <v>282</v>
      </c>
      <c r="H11" s="5" t="s">
        <v>282</v>
      </c>
    </row>
    <row r="12" spans="2:8" ht="24" customHeight="1" x14ac:dyDescent="0.2">
      <c r="B12" s="4">
        <f t="array" ref="B12:H12">INDEX(calendar,ndx+4)</f>
        <v>46292</v>
      </c>
      <c r="C12" s="4">
        <v>46293</v>
      </c>
      <c r="D12" s="4">
        <v>46294</v>
      </c>
      <c r="E12" s="4">
        <v>46295</v>
      </c>
      <c r="F12" s="4">
        <v>46296</v>
      </c>
      <c r="G12" s="4">
        <v>46297</v>
      </c>
      <c r="H12" s="4">
        <v>46298</v>
      </c>
    </row>
    <row r="13" spans="2:8" ht="51" customHeight="1" x14ac:dyDescent="0.2">
      <c r="B13" s="5" t="s">
        <v>282</v>
      </c>
      <c r="C13" s="6" t="s">
        <v>282</v>
      </c>
      <c r="D13" s="6" t="s">
        <v>281</v>
      </c>
      <c r="E13" s="6" t="s">
        <v>281</v>
      </c>
      <c r="F13" s="5"/>
      <c r="G13" s="5"/>
      <c r="H13" s="5"/>
    </row>
    <row r="14" spans="2:8" ht="23.25" customHeight="1" x14ac:dyDescent="0.2">
      <c r="B14" s="4">
        <f t="array" ref="B14:H14">INDEX(calendar,ndx+5)</f>
        <v>46299</v>
      </c>
      <c r="C14" s="4">
        <v>46300</v>
      </c>
      <c r="D14" s="4">
        <v>46301</v>
      </c>
      <c r="E14" s="4">
        <v>46302</v>
      </c>
      <c r="F14" s="4">
        <v>46303</v>
      </c>
      <c r="G14" s="4">
        <v>46304</v>
      </c>
      <c r="H14" s="4">
        <v>46305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95" priority="1">
      <formula>MonthToDisplayNumber&lt;&gt;MONTH(B4)</formula>
    </cfRule>
  </conditionalFormatting>
  <conditionalFormatting sqref="B6:H6">
    <cfRule type="expression" dxfId="94" priority="6">
      <formula>MonthToDisplayNumber&lt;&gt;MONTH(B6)</formula>
    </cfRule>
  </conditionalFormatting>
  <conditionalFormatting sqref="B8:H8">
    <cfRule type="expression" dxfId="93" priority="5">
      <formula>MonthToDisplayNumber&lt;&gt;MONTH(B8)</formula>
    </cfRule>
  </conditionalFormatting>
  <conditionalFormatting sqref="B10:H10">
    <cfRule type="expression" dxfId="92" priority="4">
      <formula>MonthToDisplayNumber&lt;&gt;MONTH(B10)</formula>
    </cfRule>
  </conditionalFormatting>
  <conditionalFormatting sqref="B12:H12">
    <cfRule type="expression" dxfId="91" priority="3">
      <formula>MonthToDisplayNumber&lt;&gt;MONTH(B12)</formula>
    </cfRule>
  </conditionalFormatting>
  <conditionalFormatting sqref="B14:H14">
    <cfRule type="expression" dxfId="9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6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600-000001000000}"/>
    <dataValidation allowBlank="1" showInputMessage="1" showErrorMessage="1" prompt="Rows 12 and 14 may contain dates for the following month if the end of this month concludes in either row" sqref="B12" xr:uid="{00000000-0002-0000-1600-000002000000}"/>
    <dataValidation allowBlank="1" showInputMessage="1" showErrorMessage="1" prompt="Enter daily notes in this cell. Rows 5, 7, 9, 11, 13 and 15 have cells beneath the day of the week for daily notes" sqref="B5" xr:uid="{00000000-0002-0000-1600-000003000000}"/>
    <dataValidation allowBlank="1" showInputMessage="1" showErrorMessage="1" prompt="Enter the year for this calendar month" sqref="B1" xr:uid="{00000000-0002-0000-16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6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6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6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D17" sqref="D17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15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46292</v>
      </c>
      <c r="C3" s="2">
        <v>46293</v>
      </c>
      <c r="D3" s="2">
        <v>46294</v>
      </c>
      <c r="E3" s="2">
        <v>46295</v>
      </c>
      <c r="F3" s="2">
        <v>46296</v>
      </c>
      <c r="G3" s="2">
        <v>46297</v>
      </c>
      <c r="H3" s="2">
        <v>46298</v>
      </c>
    </row>
    <row r="4" spans="2:8" ht="24" customHeight="1" thickTop="1" x14ac:dyDescent="0.2">
      <c r="B4" s="3">
        <f t="array" ref="B4:H4">INDEX(calendar,ndx+0)</f>
        <v>46292</v>
      </c>
      <c r="C4" s="3">
        <v>46293</v>
      </c>
      <c r="D4" s="3">
        <v>46294</v>
      </c>
      <c r="E4" s="3">
        <v>46295</v>
      </c>
      <c r="F4" s="3">
        <v>46296</v>
      </c>
      <c r="G4" s="3">
        <v>46297</v>
      </c>
      <c r="H4" s="3">
        <v>46298</v>
      </c>
    </row>
    <row r="5" spans="2:8" ht="51" customHeight="1" x14ac:dyDescent="0.2">
      <c r="B5" s="6"/>
      <c r="C5" s="6"/>
      <c r="D5" s="6"/>
      <c r="E5" s="6"/>
      <c r="F5" s="6" t="s">
        <v>281</v>
      </c>
      <c r="G5" s="6" t="s">
        <v>281</v>
      </c>
      <c r="H5" s="6" t="s">
        <v>281</v>
      </c>
    </row>
    <row r="6" spans="2:8" ht="24" customHeight="1" x14ac:dyDescent="0.2">
      <c r="B6" s="4">
        <f t="array" ref="B6:H6">INDEX(calendar,ndx+1)</f>
        <v>46299</v>
      </c>
      <c r="C6" s="4">
        <v>46300</v>
      </c>
      <c r="D6" s="4">
        <v>46301</v>
      </c>
      <c r="E6" s="4">
        <v>46302</v>
      </c>
      <c r="F6" s="4">
        <v>46303</v>
      </c>
      <c r="G6" s="4">
        <v>46304</v>
      </c>
      <c r="H6" s="4">
        <v>46305</v>
      </c>
    </row>
    <row r="7" spans="2:8" ht="51" customHeight="1" x14ac:dyDescent="0.2">
      <c r="B7" s="6" t="s">
        <v>281</v>
      </c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46306</v>
      </c>
      <c r="C8" s="4">
        <v>46307</v>
      </c>
      <c r="D8" s="4">
        <v>46308</v>
      </c>
      <c r="E8" s="4">
        <v>46309</v>
      </c>
      <c r="F8" s="4">
        <v>46310</v>
      </c>
      <c r="G8" s="4">
        <v>46311</v>
      </c>
      <c r="H8" s="4">
        <v>46312</v>
      </c>
    </row>
    <row r="9" spans="2:8" ht="51" customHeight="1" x14ac:dyDescent="0.2">
      <c r="B9" s="12" t="s">
        <v>255</v>
      </c>
      <c r="C9" s="5" t="s">
        <v>253</v>
      </c>
      <c r="D9" s="5" t="s">
        <v>254</v>
      </c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46313</v>
      </c>
      <c r="C10" s="4">
        <v>46314</v>
      </c>
      <c r="D10" s="4">
        <v>46315</v>
      </c>
      <c r="E10" s="4">
        <v>46316</v>
      </c>
      <c r="F10" s="4">
        <v>46317</v>
      </c>
      <c r="G10" s="4">
        <v>46318</v>
      </c>
      <c r="H10" s="4">
        <v>46319</v>
      </c>
    </row>
    <row r="11" spans="2:8" ht="51" customHeight="1" x14ac:dyDescent="0.2">
      <c r="B11" s="5"/>
      <c r="C11" s="5"/>
      <c r="D11" s="5"/>
      <c r="E11" s="5"/>
      <c r="F11" s="5"/>
      <c r="G11" s="5"/>
      <c r="H11" s="5"/>
    </row>
    <row r="12" spans="2:8" ht="24" customHeight="1" x14ac:dyDescent="0.2">
      <c r="B12" s="4">
        <f t="array" ref="B12:H12">INDEX(calendar,ndx+4)</f>
        <v>46320</v>
      </c>
      <c r="C12" s="4">
        <v>46321</v>
      </c>
      <c r="D12" s="4">
        <v>46322</v>
      </c>
      <c r="E12" s="4">
        <v>46323</v>
      </c>
      <c r="F12" s="4">
        <v>46324</v>
      </c>
      <c r="G12" s="4">
        <v>46325</v>
      </c>
      <c r="H12" s="4">
        <v>46326</v>
      </c>
    </row>
    <row r="13" spans="2:8" ht="51" customHeight="1" x14ac:dyDescent="0.2">
      <c r="B13" s="5"/>
      <c r="C13" s="6"/>
      <c r="D13" s="6"/>
      <c r="E13" s="6"/>
      <c r="F13" s="5"/>
      <c r="G13" s="5" t="s">
        <v>247</v>
      </c>
      <c r="H13" s="5" t="s">
        <v>331</v>
      </c>
    </row>
    <row r="14" spans="2:8" ht="23.25" customHeight="1" x14ac:dyDescent="0.2">
      <c r="B14" s="4">
        <f t="array" ref="B14:H14">INDEX(calendar,ndx+5)</f>
        <v>46327</v>
      </c>
      <c r="C14" s="4">
        <v>46328</v>
      </c>
      <c r="D14" s="4">
        <v>46329</v>
      </c>
      <c r="E14" s="4">
        <v>46330</v>
      </c>
      <c r="F14" s="4">
        <v>46331</v>
      </c>
      <c r="G14" s="4">
        <v>46332</v>
      </c>
      <c r="H14" s="4">
        <v>46333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89" priority="1">
      <formula>MonthToDisplayNumber&lt;&gt;MONTH(B4)</formula>
    </cfRule>
  </conditionalFormatting>
  <conditionalFormatting sqref="B6:H6">
    <cfRule type="expression" dxfId="88" priority="6">
      <formula>MonthToDisplayNumber&lt;&gt;MONTH(B6)</formula>
    </cfRule>
  </conditionalFormatting>
  <conditionalFormatting sqref="B8:H8">
    <cfRule type="expression" dxfId="87" priority="5">
      <formula>MonthToDisplayNumber&lt;&gt;MONTH(B8)</formula>
    </cfRule>
  </conditionalFormatting>
  <conditionalFormatting sqref="B10:H10">
    <cfRule type="expression" dxfId="86" priority="4">
      <formula>MonthToDisplayNumber&lt;&gt;MONTH(B10)</formula>
    </cfRule>
  </conditionalFormatting>
  <conditionalFormatting sqref="B12:H12">
    <cfRule type="expression" dxfId="85" priority="3">
      <formula>MonthToDisplayNumber&lt;&gt;MONTH(B12)</formula>
    </cfRule>
  </conditionalFormatting>
  <conditionalFormatting sqref="B14:H14">
    <cfRule type="expression" dxfId="8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7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700-000001000000}"/>
    <dataValidation allowBlank="1" showInputMessage="1" showErrorMessage="1" prompt="Rows 12 and 14 may contain dates for the following month if the end of this month concludes in either row" sqref="B12" xr:uid="{00000000-0002-0000-17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7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7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700-000005000000}"/>
    <dataValidation allowBlank="1" showInputMessage="1" showErrorMessage="1" prompt="Enter the year for this calendar month" sqref="B1" xr:uid="{00000000-0002-0000-1700-000006000000}"/>
    <dataValidation allowBlank="1" showInputMessage="1" showErrorMessage="1" prompt="Enter daily notes in this cell. Rows 5, 7, 9, 11, 13 and 15 have cells beneath the day of the week for daily notes" sqref="B5" xr:uid="{00000000-0002-0000-17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H11" sqref="H1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46327</v>
      </c>
      <c r="C3" s="2">
        <v>46328</v>
      </c>
      <c r="D3" s="2">
        <v>46329</v>
      </c>
      <c r="E3" s="2">
        <v>46330</v>
      </c>
      <c r="F3" s="2">
        <v>46331</v>
      </c>
      <c r="G3" s="2">
        <v>46332</v>
      </c>
      <c r="H3" s="2">
        <v>46333</v>
      </c>
    </row>
    <row r="4" spans="2:8" ht="24" customHeight="1" thickTop="1" x14ac:dyDescent="0.2">
      <c r="B4" s="3">
        <f t="array" ref="B4:H4">INDEX(calendar,ndx+0)</f>
        <v>46327</v>
      </c>
      <c r="C4" s="3">
        <v>46328</v>
      </c>
      <c r="D4" s="3">
        <v>46329</v>
      </c>
      <c r="E4" s="3">
        <v>46330</v>
      </c>
      <c r="F4" s="3">
        <v>46331</v>
      </c>
      <c r="G4" s="3">
        <v>46332</v>
      </c>
      <c r="H4" s="3">
        <v>46333</v>
      </c>
    </row>
    <row r="5" spans="2:8" ht="51" customHeight="1" x14ac:dyDescent="0.2">
      <c r="B5" s="6" t="s">
        <v>241</v>
      </c>
      <c r="C5" s="6" t="s">
        <v>241</v>
      </c>
      <c r="D5" s="6" t="s">
        <v>247</v>
      </c>
      <c r="E5" s="6" t="s">
        <v>247</v>
      </c>
      <c r="F5" s="6" t="s">
        <v>247</v>
      </c>
      <c r="G5" s="6" t="s">
        <v>247</v>
      </c>
      <c r="H5" s="6" t="s">
        <v>247</v>
      </c>
    </row>
    <row r="6" spans="2:8" ht="24" customHeight="1" x14ac:dyDescent="0.2">
      <c r="B6" s="4">
        <f t="array" ref="B6:H6">INDEX(calendar,ndx+1)</f>
        <v>46334</v>
      </c>
      <c r="C6" s="4">
        <v>46335</v>
      </c>
      <c r="D6" s="4">
        <v>46336</v>
      </c>
      <c r="E6" s="4">
        <v>46337</v>
      </c>
      <c r="F6" s="4">
        <v>46338</v>
      </c>
      <c r="G6" s="4">
        <v>46339</v>
      </c>
      <c r="H6" s="4">
        <v>46340</v>
      </c>
    </row>
    <row r="7" spans="2:8" ht="51" customHeight="1" x14ac:dyDescent="0.2">
      <c r="B7" s="6" t="s">
        <v>241</v>
      </c>
      <c r="C7" s="5" t="s">
        <v>248</v>
      </c>
      <c r="D7" s="5" t="s">
        <v>249</v>
      </c>
      <c r="E7" s="5" t="s">
        <v>249</v>
      </c>
      <c r="F7" s="5" t="s">
        <v>249</v>
      </c>
      <c r="G7" s="5" t="s">
        <v>247</v>
      </c>
      <c r="H7" s="5" t="s">
        <v>247</v>
      </c>
    </row>
    <row r="8" spans="2:8" ht="24" customHeight="1" x14ac:dyDescent="0.2">
      <c r="B8" s="4">
        <f t="array" ref="B8:H8">INDEX(calendar,ndx+2)</f>
        <v>46341</v>
      </c>
      <c r="C8" s="4">
        <v>46342</v>
      </c>
      <c r="D8" s="4">
        <v>46343</v>
      </c>
      <c r="E8" s="4">
        <v>46344</v>
      </c>
      <c r="F8" s="4">
        <v>46345</v>
      </c>
      <c r="G8" s="4">
        <v>46346</v>
      </c>
      <c r="H8" s="4">
        <v>46347</v>
      </c>
    </row>
    <row r="9" spans="2:8" ht="51" customHeight="1" x14ac:dyDescent="0.2">
      <c r="B9" s="6" t="s">
        <v>241</v>
      </c>
      <c r="C9" s="5" t="s">
        <v>241</v>
      </c>
      <c r="D9" s="5" t="s">
        <v>247</v>
      </c>
      <c r="E9" s="5" t="s">
        <v>247</v>
      </c>
      <c r="F9" s="5" t="s">
        <v>247</v>
      </c>
      <c r="G9" s="5" t="s">
        <v>247</v>
      </c>
      <c r="H9" s="5" t="s">
        <v>247</v>
      </c>
    </row>
    <row r="10" spans="2:8" ht="24" customHeight="1" x14ac:dyDescent="0.2">
      <c r="B10" s="4">
        <f t="array" ref="B10:H10">INDEX(calendar,ndx+3)</f>
        <v>46348</v>
      </c>
      <c r="C10" s="4">
        <v>46349</v>
      </c>
      <c r="D10" s="4">
        <v>46350</v>
      </c>
      <c r="E10" s="4">
        <v>46351</v>
      </c>
      <c r="F10" s="4">
        <v>46352</v>
      </c>
      <c r="G10" s="4">
        <v>46353</v>
      </c>
      <c r="H10" s="4">
        <v>46354</v>
      </c>
    </row>
    <row r="11" spans="2:8" ht="51" customHeight="1" x14ac:dyDescent="0.2">
      <c r="B11" s="5" t="s">
        <v>241</v>
      </c>
      <c r="C11" s="5" t="s">
        <v>241</v>
      </c>
      <c r="D11" s="5" t="s">
        <v>247</v>
      </c>
      <c r="E11" s="5" t="s">
        <v>247</v>
      </c>
      <c r="F11" s="5" t="s">
        <v>247</v>
      </c>
      <c r="G11" s="5" t="s">
        <v>247</v>
      </c>
      <c r="H11" s="5"/>
    </row>
    <row r="12" spans="2:8" ht="24" customHeight="1" x14ac:dyDescent="0.2">
      <c r="B12" s="4">
        <f t="array" ref="B12:H12">INDEX(calendar,ndx+4)</f>
        <v>46355</v>
      </c>
      <c r="C12" s="4">
        <v>46356</v>
      </c>
      <c r="D12" s="4">
        <v>46357</v>
      </c>
      <c r="E12" s="4">
        <v>46358</v>
      </c>
      <c r="F12" s="4">
        <v>46359</v>
      </c>
      <c r="G12" s="4">
        <v>46360</v>
      </c>
      <c r="H12" s="4">
        <v>46361</v>
      </c>
    </row>
    <row r="13" spans="2:8" ht="51" customHeight="1" x14ac:dyDescent="0.2">
      <c r="B13" s="5"/>
      <c r="C13" s="6"/>
      <c r="D13" s="6"/>
      <c r="E13" s="6"/>
      <c r="F13" s="5"/>
      <c r="G13" s="5"/>
      <c r="H13" s="5"/>
    </row>
    <row r="14" spans="2:8" ht="23.25" customHeight="1" x14ac:dyDescent="0.2">
      <c r="B14" s="4">
        <f t="array" ref="B14:H14">INDEX(calendar,ndx+5)</f>
        <v>46362</v>
      </c>
      <c r="C14" s="4">
        <v>46363</v>
      </c>
      <c r="D14" s="4">
        <v>46364</v>
      </c>
      <c r="E14" s="4">
        <v>46365</v>
      </c>
      <c r="F14" s="4">
        <v>46366</v>
      </c>
      <c r="G14" s="4">
        <v>46367</v>
      </c>
      <c r="H14" s="4">
        <v>46368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83" priority="1">
      <formula>MonthToDisplayNumber&lt;&gt;MONTH(B4)</formula>
    </cfRule>
  </conditionalFormatting>
  <conditionalFormatting sqref="B6:H6">
    <cfRule type="expression" dxfId="82" priority="6">
      <formula>MonthToDisplayNumber&lt;&gt;MONTH(B6)</formula>
    </cfRule>
  </conditionalFormatting>
  <conditionalFormatting sqref="B8:H8">
    <cfRule type="expression" dxfId="81" priority="5">
      <formula>MonthToDisplayNumber&lt;&gt;MONTH(B8)</formula>
    </cfRule>
  </conditionalFormatting>
  <conditionalFormatting sqref="B10:H10">
    <cfRule type="expression" dxfId="80" priority="4">
      <formula>MonthToDisplayNumber&lt;&gt;MONTH(B10)</formula>
    </cfRule>
  </conditionalFormatting>
  <conditionalFormatting sqref="B12:H12">
    <cfRule type="expression" dxfId="79" priority="3">
      <formula>MonthToDisplayNumber&lt;&gt;MONTH(B12)</formula>
    </cfRule>
  </conditionalFormatting>
  <conditionalFormatting sqref="B14:H14">
    <cfRule type="expression" dxfId="7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8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800-000001000000}"/>
    <dataValidation allowBlank="1" showInputMessage="1" showErrorMessage="1" prompt="Rows 12 and 14 may contain dates for the following month if the end of this month concludes in either row" sqref="B12" xr:uid="{00000000-0002-0000-1800-000002000000}"/>
    <dataValidation allowBlank="1" showInputMessage="1" showErrorMessage="1" prompt="Enter daily notes in this cell. Rows 5, 7, 9, 11, 13 and 15 have cells beneath the day of the week for daily notes" sqref="B5" xr:uid="{00000000-0002-0000-1800-000003000000}"/>
    <dataValidation allowBlank="1" showInputMessage="1" showErrorMessage="1" prompt="Enter the year for this calendar month" sqref="B1" xr:uid="{00000000-0002-0000-18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8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8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8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F13" sqref="F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2026</v>
      </c>
      <c r="C1" s="13" t="s">
        <v>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46355</v>
      </c>
      <c r="C3" s="2">
        <v>46356</v>
      </c>
      <c r="D3" s="2">
        <v>46357</v>
      </c>
      <c r="E3" s="2">
        <v>46358</v>
      </c>
      <c r="F3" s="2">
        <v>46359</v>
      </c>
      <c r="G3" s="2">
        <v>46360</v>
      </c>
      <c r="H3" s="2">
        <v>46361</v>
      </c>
    </row>
    <row r="4" spans="2:8" ht="24" customHeight="1" thickTop="1" x14ac:dyDescent="0.2">
      <c r="B4" s="3">
        <f t="array" ref="B4:H4">INDEX(calendar,ndx+0)</f>
        <v>46355</v>
      </c>
      <c r="C4" s="3">
        <v>46356</v>
      </c>
      <c r="D4" s="3">
        <v>46357</v>
      </c>
      <c r="E4" s="3">
        <v>46358</v>
      </c>
      <c r="F4" s="3">
        <v>46359</v>
      </c>
      <c r="G4" s="3">
        <v>46360</v>
      </c>
      <c r="H4" s="3">
        <v>46361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46362</v>
      </c>
      <c r="C6" s="4">
        <v>46363</v>
      </c>
      <c r="D6" s="4">
        <v>46364</v>
      </c>
      <c r="E6" s="4">
        <v>46365</v>
      </c>
      <c r="F6" s="4">
        <v>46366</v>
      </c>
      <c r="G6" s="4">
        <v>46367</v>
      </c>
      <c r="H6" s="4">
        <v>46368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46369</v>
      </c>
      <c r="C8" s="4">
        <v>46370</v>
      </c>
      <c r="D8" s="4">
        <v>46371</v>
      </c>
      <c r="E8" s="4">
        <v>46372</v>
      </c>
      <c r="F8" s="4">
        <v>46373</v>
      </c>
      <c r="G8" s="4">
        <v>46374</v>
      </c>
      <c r="H8" s="4">
        <v>46375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46376</v>
      </c>
      <c r="C10" s="4">
        <v>46377</v>
      </c>
      <c r="D10" s="4">
        <v>46378</v>
      </c>
      <c r="E10" s="4">
        <v>46379</v>
      </c>
      <c r="F10" s="4">
        <v>46380</v>
      </c>
      <c r="G10" s="4">
        <v>46381</v>
      </c>
      <c r="H10" s="4">
        <v>46382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46383</v>
      </c>
      <c r="C12" s="4">
        <v>46384</v>
      </c>
      <c r="D12" s="4">
        <v>46385</v>
      </c>
      <c r="E12" s="4">
        <v>46386</v>
      </c>
      <c r="F12" s="4">
        <v>46387</v>
      </c>
      <c r="G12" s="4">
        <v>46388</v>
      </c>
      <c r="H12" s="4">
        <v>46389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46390</v>
      </c>
      <c r="C14" s="4">
        <v>46391</v>
      </c>
      <c r="D14" s="4">
        <v>46392</v>
      </c>
      <c r="E14" s="4">
        <v>46393</v>
      </c>
      <c r="F14" s="4">
        <v>46394</v>
      </c>
      <c r="G14" s="4">
        <v>46395</v>
      </c>
      <c r="H14" s="4">
        <v>46396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77" priority="1">
      <formula>MonthToDisplayNumber&lt;&gt;MONTH(B4)</formula>
    </cfRule>
  </conditionalFormatting>
  <conditionalFormatting sqref="B6:H6">
    <cfRule type="expression" dxfId="76" priority="6">
      <formula>MonthToDisplayNumber&lt;&gt;MONTH(B6)</formula>
    </cfRule>
  </conditionalFormatting>
  <conditionalFormatting sqref="B8:H8">
    <cfRule type="expression" dxfId="75" priority="5">
      <formula>MonthToDisplayNumber&lt;&gt;MONTH(B8)</formula>
    </cfRule>
  </conditionalFormatting>
  <conditionalFormatting sqref="B10:H10">
    <cfRule type="expression" dxfId="74" priority="4">
      <formula>MonthToDisplayNumber&lt;&gt;MONTH(B10)</formula>
    </cfRule>
  </conditionalFormatting>
  <conditionalFormatting sqref="B12:H12">
    <cfRule type="expression" dxfId="73" priority="3">
      <formula>MonthToDisplayNumber&lt;&gt;MONTH(B12)</formula>
    </cfRule>
  </conditionalFormatting>
  <conditionalFormatting sqref="B14:H14">
    <cfRule type="expression" dxfId="7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9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900-000001000000}"/>
    <dataValidation allowBlank="1" showInputMessage="1" showErrorMessage="1" prompt="Rows 12 and 14 may contain dates for the following month if the end of this month concludes in either row" sqref="B12" xr:uid="{00000000-0002-0000-1900-000002000000}"/>
    <dataValidation allowBlank="1" showInputMessage="1" showErrorMessage="1" prompt="Enter daily notes in this cell. Rows 5, 7, 9, 11, 13 and 15 have cells beneath the day of the week for daily notes" sqref="B5" xr:uid="{00000000-0002-0000-1900-000003000000}"/>
    <dataValidation allowBlank="1" showInputMessage="1" showErrorMessage="1" prompt="Enter the year for this calendar month" sqref="B1" xr:uid="{00000000-0002-0000-19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9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9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9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F16" sqref="F16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46383</v>
      </c>
      <c r="C3" s="2">
        <v>46384</v>
      </c>
      <c r="D3" s="2">
        <v>46385</v>
      </c>
      <c r="E3" s="2">
        <v>46386</v>
      </c>
      <c r="F3" s="2">
        <v>46387</v>
      </c>
      <c r="G3" s="2">
        <v>46388</v>
      </c>
      <c r="H3" s="2">
        <v>46389</v>
      </c>
    </row>
    <row r="4" spans="2:8" ht="24" customHeight="1" thickTop="1" x14ac:dyDescent="0.2">
      <c r="B4" s="3">
        <f t="array" ref="B4:H4">INDEX(calendar,ndx+0)</f>
        <v>46383</v>
      </c>
      <c r="C4" s="3">
        <v>46384</v>
      </c>
      <c r="D4" s="3">
        <v>46385</v>
      </c>
      <c r="E4" s="3">
        <v>46386</v>
      </c>
      <c r="F4" s="3">
        <v>46387</v>
      </c>
      <c r="G4" s="3">
        <v>46388</v>
      </c>
      <c r="H4" s="3">
        <v>46389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46390</v>
      </c>
      <c r="C6" s="4">
        <v>46391</v>
      </c>
      <c r="D6" s="4">
        <v>46392</v>
      </c>
      <c r="E6" s="4">
        <v>46393</v>
      </c>
      <c r="F6" s="4">
        <v>46394</v>
      </c>
      <c r="G6" s="4">
        <v>46395</v>
      </c>
      <c r="H6" s="4">
        <v>46396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46397</v>
      </c>
      <c r="C8" s="4">
        <v>46398</v>
      </c>
      <c r="D8" s="4">
        <v>46399</v>
      </c>
      <c r="E8" s="4">
        <v>46400</v>
      </c>
      <c r="F8" s="4">
        <v>46401</v>
      </c>
      <c r="G8" s="4">
        <v>46402</v>
      </c>
      <c r="H8" s="4">
        <v>46403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46404</v>
      </c>
      <c r="C10" s="4">
        <v>46405</v>
      </c>
      <c r="D10" s="4">
        <v>46406</v>
      </c>
      <c r="E10" s="4">
        <v>46407</v>
      </c>
      <c r="F10" s="4">
        <v>46408</v>
      </c>
      <c r="G10" s="4">
        <v>46409</v>
      </c>
      <c r="H10" s="4">
        <v>46410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46411</v>
      </c>
      <c r="C12" s="4">
        <v>46412</v>
      </c>
      <c r="D12" s="4">
        <v>46413</v>
      </c>
      <c r="E12" s="4">
        <v>46414</v>
      </c>
      <c r="F12" s="4">
        <v>46415</v>
      </c>
      <c r="G12" s="4">
        <v>46416</v>
      </c>
      <c r="H12" s="4">
        <v>46417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46418</v>
      </c>
      <c r="C14" s="4">
        <v>46419</v>
      </c>
      <c r="D14" s="4">
        <v>46420</v>
      </c>
      <c r="E14" s="4">
        <v>46421</v>
      </c>
      <c r="F14" s="4">
        <v>46422</v>
      </c>
      <c r="G14" s="4">
        <v>46423</v>
      </c>
      <c r="H14" s="4">
        <v>46424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71" priority="1">
      <formula>MonthToDisplayNumber&lt;&gt;MONTH(B4)</formula>
    </cfRule>
  </conditionalFormatting>
  <conditionalFormatting sqref="B6:H6">
    <cfRule type="expression" dxfId="70" priority="6">
      <formula>MonthToDisplayNumber&lt;&gt;MONTH(B6)</formula>
    </cfRule>
  </conditionalFormatting>
  <conditionalFormatting sqref="B8:H8">
    <cfRule type="expression" dxfId="69" priority="5">
      <formula>MonthToDisplayNumber&lt;&gt;MONTH(B8)</formula>
    </cfRule>
  </conditionalFormatting>
  <conditionalFormatting sqref="B10:H10">
    <cfRule type="expression" dxfId="68" priority="4">
      <formula>MonthToDisplayNumber&lt;&gt;MONTH(B10)</formula>
    </cfRule>
  </conditionalFormatting>
  <conditionalFormatting sqref="B12:H12">
    <cfRule type="expression" dxfId="67" priority="3">
      <formula>MonthToDisplayNumber&lt;&gt;MONTH(B12)</formula>
    </cfRule>
  </conditionalFormatting>
  <conditionalFormatting sqref="B14:H14">
    <cfRule type="expression" dxfId="6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A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A00-000001000000}"/>
    <dataValidation allowBlank="1" showInputMessage="1" showErrorMessage="1" prompt="Rows 12 and 14 may contain dates for the following month if the end of this month concludes in either row" sqref="B12" xr:uid="{00000000-0002-0000-1A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A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A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A00-000005000000}"/>
    <dataValidation allowBlank="1" showInputMessage="1" showErrorMessage="1" prompt="Enter the year for this calendar month" sqref="B1" xr:uid="{00000000-0002-0000-1A00-000006000000}"/>
    <dataValidation allowBlank="1" showInputMessage="1" showErrorMessage="1" prompt="Enter daily notes in this cell. Rows 5, 7, 9, 11, 13 and 15 have cells beneath the day of the week for daily notes" sqref="B5" xr:uid="{00000000-0002-0000-1A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G13" sqref="G13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7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46418</v>
      </c>
      <c r="C3" s="2">
        <v>46419</v>
      </c>
      <c r="D3" s="2">
        <v>46420</v>
      </c>
      <c r="E3" s="2">
        <v>46421</v>
      </c>
      <c r="F3" s="2">
        <v>46422</v>
      </c>
      <c r="G3" s="2">
        <v>46423</v>
      </c>
      <c r="H3" s="2">
        <v>46424</v>
      </c>
    </row>
    <row r="4" spans="2:8" ht="24" customHeight="1" thickTop="1" x14ac:dyDescent="0.2">
      <c r="B4" s="3">
        <f t="array" ref="B4:H4">INDEX(calendar,ndx+0)</f>
        <v>46418</v>
      </c>
      <c r="C4" s="3">
        <v>46419</v>
      </c>
      <c r="D4" s="3">
        <v>46420</v>
      </c>
      <c r="E4" s="3">
        <v>46421</v>
      </c>
      <c r="F4" s="3">
        <v>46422</v>
      </c>
      <c r="G4" s="3">
        <v>46423</v>
      </c>
      <c r="H4" s="3">
        <v>46424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46425</v>
      </c>
      <c r="C6" s="4">
        <v>46426</v>
      </c>
      <c r="D6" s="4">
        <v>46427</v>
      </c>
      <c r="E6" s="4">
        <v>46428</v>
      </c>
      <c r="F6" s="4">
        <v>46429</v>
      </c>
      <c r="G6" s="4">
        <v>46430</v>
      </c>
      <c r="H6" s="4">
        <v>46431</v>
      </c>
    </row>
    <row r="7" spans="2:8" ht="51" customHeight="1" x14ac:dyDescent="0.2">
      <c r="B7" s="6"/>
      <c r="C7" s="5"/>
      <c r="D7" s="5"/>
      <c r="E7" s="5"/>
      <c r="F7" s="5"/>
      <c r="G7" s="5" t="s">
        <v>306</v>
      </c>
      <c r="H7" s="5" t="s">
        <v>307</v>
      </c>
    </row>
    <row r="8" spans="2:8" ht="24" customHeight="1" x14ac:dyDescent="0.2">
      <c r="B8" s="4">
        <f t="array" ref="B8:H8">INDEX(calendar,ndx+2)</f>
        <v>46432</v>
      </c>
      <c r="C8" s="4">
        <v>46433</v>
      </c>
      <c r="D8" s="4">
        <v>46434</v>
      </c>
      <c r="E8" s="4">
        <v>46435</v>
      </c>
      <c r="F8" s="4">
        <v>46436</v>
      </c>
      <c r="G8" s="4">
        <v>46437</v>
      </c>
      <c r="H8" s="4">
        <v>46438</v>
      </c>
    </row>
    <row r="9" spans="2:8" ht="51" customHeight="1" x14ac:dyDescent="0.2">
      <c r="B9" s="6" t="s">
        <v>308</v>
      </c>
      <c r="C9" s="5" t="s">
        <v>306</v>
      </c>
      <c r="D9" s="5" t="s">
        <v>306</v>
      </c>
      <c r="E9" s="5" t="s">
        <v>306</v>
      </c>
      <c r="F9" s="5" t="s">
        <v>306</v>
      </c>
      <c r="G9" s="5" t="s">
        <v>306</v>
      </c>
      <c r="H9" s="5" t="s">
        <v>306</v>
      </c>
    </row>
    <row r="10" spans="2:8" ht="24" customHeight="1" x14ac:dyDescent="0.2">
      <c r="B10" s="4">
        <f t="array" ref="B10:H10">INDEX(calendar,ndx+3)</f>
        <v>46439</v>
      </c>
      <c r="C10" s="4">
        <v>46440</v>
      </c>
      <c r="D10" s="4">
        <v>46441</v>
      </c>
      <c r="E10" s="4">
        <v>46442</v>
      </c>
      <c r="F10" s="4">
        <v>46443</v>
      </c>
      <c r="G10" s="4">
        <v>46444</v>
      </c>
      <c r="H10" s="4">
        <v>46445</v>
      </c>
    </row>
    <row r="11" spans="2:8" ht="51" customHeight="1" x14ac:dyDescent="0.2">
      <c r="B11" s="5" t="s">
        <v>306</v>
      </c>
      <c r="C11" s="5" t="s">
        <v>306</v>
      </c>
      <c r="D11" s="5" t="s">
        <v>306</v>
      </c>
      <c r="E11" s="5" t="s">
        <v>306</v>
      </c>
      <c r="F11" s="5" t="s">
        <v>309</v>
      </c>
      <c r="G11" s="5" t="s">
        <v>306</v>
      </c>
      <c r="H11" s="5" t="s">
        <v>306</v>
      </c>
    </row>
    <row r="12" spans="2:8" ht="24" customHeight="1" x14ac:dyDescent="0.2">
      <c r="B12" s="4">
        <f t="array" ref="B12:H12">INDEX(calendar,ndx+4)</f>
        <v>46446</v>
      </c>
      <c r="C12" s="4">
        <v>46447</v>
      </c>
      <c r="D12" s="4">
        <v>46448</v>
      </c>
      <c r="E12" s="4">
        <v>46449</v>
      </c>
      <c r="F12" s="4">
        <v>46450</v>
      </c>
      <c r="G12" s="4">
        <v>46451</v>
      </c>
      <c r="H12" s="4">
        <v>46452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46453</v>
      </c>
      <c r="C14" s="4">
        <v>46454</v>
      </c>
      <c r="D14" s="4">
        <v>46455</v>
      </c>
      <c r="E14" s="4">
        <v>46456</v>
      </c>
      <c r="F14" s="4">
        <v>46457</v>
      </c>
      <c r="G14" s="4">
        <v>46458</v>
      </c>
      <c r="H14" s="4">
        <v>46459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65" priority="1">
      <formula>MonthToDisplayNumber&lt;&gt;MONTH(B4)</formula>
    </cfRule>
  </conditionalFormatting>
  <conditionalFormatting sqref="B6:H6">
    <cfRule type="expression" dxfId="64" priority="6">
      <formula>MonthToDisplayNumber&lt;&gt;MONTH(B6)</formula>
    </cfRule>
  </conditionalFormatting>
  <conditionalFormatting sqref="B8:H8">
    <cfRule type="expression" dxfId="63" priority="5">
      <formula>MonthToDisplayNumber&lt;&gt;MONTH(B8)</formula>
    </cfRule>
  </conditionalFormatting>
  <conditionalFormatting sqref="B10:H10">
    <cfRule type="expression" dxfId="62" priority="4">
      <formula>MonthToDisplayNumber&lt;&gt;MONTH(B10)</formula>
    </cfRule>
  </conditionalFormatting>
  <conditionalFormatting sqref="B12:H12">
    <cfRule type="expression" dxfId="61" priority="3">
      <formula>MonthToDisplayNumber&lt;&gt;MONTH(B12)</formula>
    </cfRule>
  </conditionalFormatting>
  <conditionalFormatting sqref="B14:H14">
    <cfRule type="expression" dxfId="6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B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B00-000001000000}"/>
    <dataValidation allowBlank="1" showInputMessage="1" showErrorMessage="1" prompt="Rows 12 and 14 may contain dates for the following month if the end of this month concludes in either row" sqref="B12" xr:uid="{00000000-0002-0000-1B00-000002000000}"/>
    <dataValidation allowBlank="1" showInputMessage="1" showErrorMessage="1" prompt="Enter daily notes in this cell. Rows 5, 7, 9, 11, 13 and 15 have cells beneath the day of the week for daily notes" sqref="B5" xr:uid="{00000000-0002-0000-1B00-000003000000}"/>
    <dataValidation allowBlank="1" showInputMessage="1" showErrorMessage="1" prompt="Enter the year for this calendar month" sqref="B1" xr:uid="{00000000-0002-0000-1B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B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B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B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L5" sqref="L5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8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46446</v>
      </c>
      <c r="C3" s="2">
        <v>46447</v>
      </c>
      <c r="D3" s="2">
        <v>46448</v>
      </c>
      <c r="E3" s="2">
        <v>46449</v>
      </c>
      <c r="F3" s="2">
        <v>46450</v>
      </c>
      <c r="G3" s="2">
        <v>46451</v>
      </c>
      <c r="H3" s="2">
        <v>46452</v>
      </c>
    </row>
    <row r="4" spans="2:8" ht="24" customHeight="1" thickTop="1" x14ac:dyDescent="0.2">
      <c r="B4" s="3">
        <f t="array" ref="B4:H4">INDEX(calendar,ndx+0)</f>
        <v>46446</v>
      </c>
      <c r="C4" s="3">
        <v>46447</v>
      </c>
      <c r="D4" s="3">
        <v>46448</v>
      </c>
      <c r="E4" s="3">
        <v>46449</v>
      </c>
      <c r="F4" s="3">
        <v>46450</v>
      </c>
      <c r="G4" s="3">
        <v>46451</v>
      </c>
      <c r="H4" s="3">
        <v>46452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46453</v>
      </c>
      <c r="C6" s="4">
        <v>46454</v>
      </c>
      <c r="D6" s="4">
        <v>46455</v>
      </c>
      <c r="E6" s="4">
        <v>46456</v>
      </c>
      <c r="F6" s="4">
        <v>46457</v>
      </c>
      <c r="G6" s="4">
        <v>46458</v>
      </c>
      <c r="H6" s="4">
        <v>46459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46460</v>
      </c>
      <c r="C8" s="4">
        <v>46461</v>
      </c>
      <c r="D8" s="4">
        <v>46462</v>
      </c>
      <c r="E8" s="4">
        <v>46463</v>
      </c>
      <c r="F8" s="4">
        <v>46464</v>
      </c>
      <c r="G8" s="4">
        <v>46465</v>
      </c>
      <c r="H8" s="4">
        <v>46466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46467</v>
      </c>
      <c r="C10" s="4">
        <v>46468</v>
      </c>
      <c r="D10" s="4">
        <v>46469</v>
      </c>
      <c r="E10" s="4">
        <v>46470</v>
      </c>
      <c r="F10" s="4">
        <v>46471</v>
      </c>
      <c r="G10" s="4">
        <v>46472</v>
      </c>
      <c r="H10" s="4">
        <v>46473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46474</v>
      </c>
      <c r="C12" s="4">
        <v>46475</v>
      </c>
      <c r="D12" s="4">
        <v>46476</v>
      </c>
      <c r="E12" s="4">
        <v>46477</v>
      </c>
      <c r="F12" s="4">
        <v>46478</v>
      </c>
      <c r="G12" s="4">
        <v>46479</v>
      </c>
      <c r="H12" s="4">
        <v>46480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46481</v>
      </c>
      <c r="C14" s="4">
        <v>46482</v>
      </c>
      <c r="D14" s="4">
        <v>46483</v>
      </c>
      <c r="E14" s="4">
        <v>46484</v>
      </c>
      <c r="F14" s="4">
        <v>46485</v>
      </c>
      <c r="G14" s="4">
        <v>46486</v>
      </c>
      <c r="H14" s="4">
        <v>46487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59" priority="1">
      <formula>MonthToDisplayNumber&lt;&gt;MONTH(B4)</formula>
    </cfRule>
  </conditionalFormatting>
  <conditionalFormatting sqref="B6:H6">
    <cfRule type="expression" dxfId="58" priority="6">
      <formula>MonthToDisplayNumber&lt;&gt;MONTH(B6)</formula>
    </cfRule>
  </conditionalFormatting>
  <conditionalFormatting sqref="B8:H8">
    <cfRule type="expression" dxfId="57" priority="5">
      <formula>MonthToDisplayNumber&lt;&gt;MONTH(B8)</formula>
    </cfRule>
  </conditionalFormatting>
  <conditionalFormatting sqref="B10:H10">
    <cfRule type="expression" dxfId="56" priority="4">
      <formula>MonthToDisplayNumber&lt;&gt;MONTH(B10)</formula>
    </cfRule>
  </conditionalFormatting>
  <conditionalFormatting sqref="B12:H12">
    <cfRule type="expression" dxfId="55" priority="3">
      <formula>MonthToDisplayNumber&lt;&gt;MONTH(B12)</formula>
    </cfRule>
  </conditionalFormatting>
  <conditionalFormatting sqref="B14:H14">
    <cfRule type="expression" dxfId="5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C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C00-000001000000}"/>
    <dataValidation allowBlank="1" showInputMessage="1" showErrorMessage="1" prompt="Rows 12 and 14 may contain dates for the following month if the end of this month concludes in either row" sqref="B12" xr:uid="{00000000-0002-0000-1C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C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C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C00-000005000000}"/>
    <dataValidation allowBlank="1" showInputMessage="1" showErrorMessage="1" prompt="Enter the year for this calendar month" sqref="B1" xr:uid="{00000000-0002-0000-1C00-000006000000}"/>
    <dataValidation allowBlank="1" showInputMessage="1" showErrorMessage="1" prompt="Enter daily notes in this cell. Rows 5, 7, 9, 11, 13 and 15 have cells beneath the day of the week for daily notes" sqref="B5" xr:uid="{00000000-0002-0000-1C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 tint="-0.499984740745262"/>
    <pageSetUpPr fitToPage="1"/>
  </sheetPr>
  <dimension ref="B1:H15"/>
  <sheetViews>
    <sheetView showGridLines="0" showRuler="0" topLeftCell="A3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9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46474</v>
      </c>
      <c r="C3" s="2">
        <v>46475</v>
      </c>
      <c r="D3" s="2">
        <v>46476</v>
      </c>
      <c r="E3" s="2">
        <v>46477</v>
      </c>
      <c r="F3" s="2">
        <v>46478</v>
      </c>
      <c r="G3" s="2">
        <v>46479</v>
      </c>
      <c r="H3" s="2">
        <v>46480</v>
      </c>
    </row>
    <row r="4" spans="2:8" ht="24" customHeight="1" thickTop="1" x14ac:dyDescent="0.2">
      <c r="B4" s="3">
        <f t="array" ref="B4:H4">INDEX(calendar,ndx+0)</f>
        <v>46474</v>
      </c>
      <c r="C4" s="3">
        <v>46475</v>
      </c>
      <c r="D4" s="3">
        <v>46476</v>
      </c>
      <c r="E4" s="3">
        <v>46477</v>
      </c>
      <c r="F4" s="3">
        <v>46478</v>
      </c>
      <c r="G4" s="3">
        <v>46479</v>
      </c>
      <c r="H4" s="3">
        <v>46480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46481</v>
      </c>
      <c r="C6" s="4">
        <v>46482</v>
      </c>
      <c r="D6" s="4">
        <v>46483</v>
      </c>
      <c r="E6" s="4">
        <v>46484</v>
      </c>
      <c r="F6" s="4">
        <v>46485</v>
      </c>
      <c r="G6" s="4">
        <v>46486</v>
      </c>
      <c r="H6" s="4">
        <v>46487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46488</v>
      </c>
      <c r="C8" s="4">
        <v>46489</v>
      </c>
      <c r="D8" s="4">
        <v>46490</v>
      </c>
      <c r="E8" s="4">
        <v>46491</v>
      </c>
      <c r="F8" s="4">
        <v>46492</v>
      </c>
      <c r="G8" s="4">
        <v>46493</v>
      </c>
      <c r="H8" s="4">
        <v>46494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46495</v>
      </c>
      <c r="C10" s="4">
        <v>46496</v>
      </c>
      <c r="D10" s="4">
        <v>46497</v>
      </c>
      <c r="E10" s="4">
        <v>46498</v>
      </c>
      <c r="F10" s="4">
        <v>46499</v>
      </c>
      <c r="G10" s="4">
        <v>46500</v>
      </c>
      <c r="H10" s="4">
        <v>46501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46502</v>
      </c>
      <c r="C12" s="4">
        <v>46503</v>
      </c>
      <c r="D12" s="4">
        <v>46504</v>
      </c>
      <c r="E12" s="4">
        <v>46505</v>
      </c>
      <c r="F12" s="4">
        <v>46506</v>
      </c>
      <c r="G12" s="4">
        <v>46507</v>
      </c>
      <c r="H12" s="4">
        <v>46508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46509</v>
      </c>
      <c r="C14" s="4">
        <v>46510</v>
      </c>
      <c r="D14" s="4">
        <v>46511</v>
      </c>
      <c r="E14" s="4">
        <v>46512</v>
      </c>
      <c r="F14" s="4">
        <v>46513</v>
      </c>
      <c r="G14" s="4">
        <v>46514</v>
      </c>
      <c r="H14" s="4">
        <v>46515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53" priority="1">
      <formula>MonthToDisplayNumber&lt;&gt;MONTH(B4)</formula>
    </cfRule>
  </conditionalFormatting>
  <conditionalFormatting sqref="B6:H6">
    <cfRule type="expression" dxfId="52" priority="6">
      <formula>MonthToDisplayNumber&lt;&gt;MONTH(B6)</formula>
    </cfRule>
  </conditionalFormatting>
  <conditionalFormatting sqref="B8:H8">
    <cfRule type="expression" dxfId="51" priority="5">
      <formula>MonthToDisplayNumber&lt;&gt;MONTH(B8)</formula>
    </cfRule>
  </conditionalFormatting>
  <conditionalFormatting sqref="B10:H10">
    <cfRule type="expression" dxfId="50" priority="4">
      <formula>MonthToDisplayNumber&lt;&gt;MONTH(B10)</formula>
    </cfRule>
  </conditionalFormatting>
  <conditionalFormatting sqref="B12:H12">
    <cfRule type="expression" dxfId="49" priority="3">
      <formula>MonthToDisplayNumber&lt;&gt;MONTH(B12)</formula>
    </cfRule>
  </conditionalFormatting>
  <conditionalFormatting sqref="B14:H14">
    <cfRule type="expression" dxfId="4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D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D00-000001000000}"/>
    <dataValidation allowBlank="1" showInputMessage="1" showErrorMessage="1" prompt="Rows 12 and 14 may contain dates for the following month if the end of this month concludes in either row" sqref="B12" xr:uid="{00000000-0002-0000-1D00-000002000000}"/>
    <dataValidation allowBlank="1" showInputMessage="1" showErrorMessage="1" prompt="Enter daily notes in this cell. Rows 5, 7, 9, 11, 13 and 15 have cells beneath the day of the week for daily notes" sqref="B5" xr:uid="{00000000-0002-0000-1D00-000003000000}"/>
    <dataValidation allowBlank="1" showInputMessage="1" showErrorMessage="1" prompt="Enter the year for this calendar month" sqref="B1" xr:uid="{00000000-0002-0000-1D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D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D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D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J6" sqref="J6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10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46502</v>
      </c>
      <c r="C3" s="2">
        <v>46503</v>
      </c>
      <c r="D3" s="2">
        <v>46504</v>
      </c>
      <c r="E3" s="2">
        <v>46505</v>
      </c>
      <c r="F3" s="2">
        <v>46506</v>
      </c>
      <c r="G3" s="2">
        <v>46507</v>
      </c>
      <c r="H3" s="2">
        <v>46508</v>
      </c>
    </row>
    <row r="4" spans="2:8" ht="24" customHeight="1" thickTop="1" x14ac:dyDescent="0.2">
      <c r="B4" s="3">
        <f t="array" ref="B4:H4">INDEX(calendar,ndx+0)</f>
        <v>46502</v>
      </c>
      <c r="C4" s="3">
        <v>46503</v>
      </c>
      <c r="D4" s="3">
        <v>46504</v>
      </c>
      <c r="E4" s="3">
        <v>46505</v>
      </c>
      <c r="F4" s="3">
        <v>46506</v>
      </c>
      <c r="G4" s="3">
        <v>46507</v>
      </c>
      <c r="H4" s="3">
        <v>46508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46509</v>
      </c>
      <c r="C6" s="4">
        <v>46510</v>
      </c>
      <c r="D6" s="4">
        <v>46511</v>
      </c>
      <c r="E6" s="4">
        <v>46512</v>
      </c>
      <c r="F6" s="4">
        <v>46513</v>
      </c>
      <c r="G6" s="4">
        <v>46514</v>
      </c>
      <c r="H6" s="4">
        <v>46515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46516</v>
      </c>
      <c r="C8" s="4">
        <v>46517</v>
      </c>
      <c r="D8" s="4">
        <v>46518</v>
      </c>
      <c r="E8" s="4">
        <v>46519</v>
      </c>
      <c r="F8" s="4">
        <v>46520</v>
      </c>
      <c r="G8" s="4">
        <v>46521</v>
      </c>
      <c r="H8" s="4">
        <v>46522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46523</v>
      </c>
      <c r="C10" s="4">
        <v>46524</v>
      </c>
      <c r="D10" s="4">
        <v>46525</v>
      </c>
      <c r="E10" s="4">
        <v>46526</v>
      </c>
      <c r="F10" s="4">
        <v>46527</v>
      </c>
      <c r="G10" s="4">
        <v>46528</v>
      </c>
      <c r="H10" s="4">
        <v>46529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46530</v>
      </c>
      <c r="C12" s="4">
        <v>46531</v>
      </c>
      <c r="D12" s="4">
        <v>46532</v>
      </c>
      <c r="E12" s="4">
        <v>46533</v>
      </c>
      <c r="F12" s="4">
        <v>46534</v>
      </c>
      <c r="G12" s="4">
        <v>46535</v>
      </c>
      <c r="H12" s="4">
        <v>46536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46537</v>
      </c>
      <c r="C14" s="4">
        <v>46538</v>
      </c>
      <c r="D14" s="4">
        <v>46539</v>
      </c>
      <c r="E14" s="4">
        <v>46540</v>
      </c>
      <c r="F14" s="4">
        <v>46541</v>
      </c>
      <c r="G14" s="4">
        <v>46542</v>
      </c>
      <c r="H14" s="4">
        <v>46543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47" priority="1">
      <formula>MonthToDisplayNumber&lt;&gt;MONTH(B4)</formula>
    </cfRule>
  </conditionalFormatting>
  <conditionalFormatting sqref="B6:H6">
    <cfRule type="expression" dxfId="46" priority="6">
      <formula>MonthToDisplayNumber&lt;&gt;MONTH(B6)</formula>
    </cfRule>
  </conditionalFormatting>
  <conditionalFormatting sqref="B8:H8">
    <cfRule type="expression" dxfId="45" priority="5">
      <formula>MonthToDisplayNumber&lt;&gt;MONTH(B8)</formula>
    </cfRule>
  </conditionalFormatting>
  <conditionalFormatting sqref="B10:H10">
    <cfRule type="expression" dxfId="44" priority="4">
      <formula>MonthToDisplayNumber&lt;&gt;MONTH(B10)</formula>
    </cfRule>
  </conditionalFormatting>
  <conditionalFormatting sqref="B12:H12">
    <cfRule type="expression" dxfId="43" priority="3">
      <formula>MonthToDisplayNumber&lt;&gt;MONTH(B12)</formula>
    </cfRule>
  </conditionalFormatting>
  <conditionalFormatting sqref="B14:H14">
    <cfRule type="expression" dxfId="4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E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E00-000001000000}"/>
    <dataValidation allowBlank="1" showInputMessage="1" showErrorMessage="1" prompt="Rows 12 and 14 may contain dates for the following month if the end of this month concludes in either row" sqref="B12" xr:uid="{00000000-0002-0000-1E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E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E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E00-000005000000}"/>
    <dataValidation allowBlank="1" showInputMessage="1" showErrorMessage="1" prompt="Enter the year for this calendar month" sqref="B1" xr:uid="{00000000-0002-0000-1E00-000006000000}"/>
    <dataValidation allowBlank="1" showInputMessage="1" showErrorMessage="1" prompt="Enter daily notes in this cell. Rows 5, 7, 9, 11, 13 and 15 have cells beneath the day of the week for daily notes" sqref="B5" xr:uid="{00000000-0002-0000-1E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11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46537</v>
      </c>
      <c r="C3" s="2">
        <v>46538</v>
      </c>
      <c r="D3" s="2">
        <v>46539</v>
      </c>
      <c r="E3" s="2">
        <v>46540</v>
      </c>
      <c r="F3" s="2">
        <v>46541</v>
      </c>
      <c r="G3" s="2">
        <v>46542</v>
      </c>
      <c r="H3" s="2">
        <v>46543</v>
      </c>
    </row>
    <row r="4" spans="2:8" ht="24" customHeight="1" thickTop="1" x14ac:dyDescent="0.2">
      <c r="B4" s="3">
        <f t="array" ref="B4:H4">INDEX(calendar,ndx+0)</f>
        <v>46537</v>
      </c>
      <c r="C4" s="3">
        <v>46538</v>
      </c>
      <c r="D4" s="3">
        <v>46539</v>
      </c>
      <c r="E4" s="3">
        <v>46540</v>
      </c>
      <c r="F4" s="3">
        <v>46541</v>
      </c>
      <c r="G4" s="3">
        <v>46542</v>
      </c>
      <c r="H4" s="3">
        <v>46543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46544</v>
      </c>
      <c r="C6" s="4">
        <v>46545</v>
      </c>
      <c r="D6" s="4">
        <v>46546</v>
      </c>
      <c r="E6" s="4">
        <v>46547</v>
      </c>
      <c r="F6" s="4">
        <v>46548</v>
      </c>
      <c r="G6" s="4">
        <v>46549</v>
      </c>
      <c r="H6" s="4">
        <v>46550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46551</v>
      </c>
      <c r="C8" s="4">
        <v>46552</v>
      </c>
      <c r="D8" s="4">
        <v>46553</v>
      </c>
      <c r="E8" s="4">
        <v>46554</v>
      </c>
      <c r="F8" s="4">
        <v>46555</v>
      </c>
      <c r="G8" s="4">
        <v>46556</v>
      </c>
      <c r="H8" s="4">
        <v>46557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46558</v>
      </c>
      <c r="C10" s="4">
        <v>46559</v>
      </c>
      <c r="D10" s="4">
        <v>46560</v>
      </c>
      <c r="E10" s="4">
        <v>46561</v>
      </c>
      <c r="F10" s="4">
        <v>46562</v>
      </c>
      <c r="G10" s="4">
        <v>46563</v>
      </c>
      <c r="H10" s="4">
        <v>46564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46565</v>
      </c>
      <c r="C12" s="4">
        <v>46566</v>
      </c>
      <c r="D12" s="4">
        <v>46567</v>
      </c>
      <c r="E12" s="4">
        <v>46568</v>
      </c>
      <c r="F12" s="4">
        <v>46569</v>
      </c>
      <c r="G12" s="4">
        <v>46570</v>
      </c>
      <c r="H12" s="4">
        <v>46571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46572</v>
      </c>
      <c r="C14" s="4">
        <v>46573</v>
      </c>
      <c r="D14" s="4">
        <v>46574</v>
      </c>
      <c r="E14" s="4">
        <v>46575</v>
      </c>
      <c r="F14" s="4">
        <v>46576</v>
      </c>
      <c r="G14" s="4">
        <v>46577</v>
      </c>
      <c r="H14" s="4">
        <v>46578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41" priority="1">
      <formula>MonthToDisplayNumber&lt;&gt;MONTH(B4)</formula>
    </cfRule>
  </conditionalFormatting>
  <conditionalFormatting sqref="B6:H6">
    <cfRule type="expression" dxfId="40" priority="6">
      <formula>MonthToDisplayNumber&lt;&gt;MONTH(B6)</formula>
    </cfRule>
  </conditionalFormatting>
  <conditionalFormatting sqref="B8:H8">
    <cfRule type="expression" dxfId="39" priority="5">
      <formula>MonthToDisplayNumber&lt;&gt;MONTH(B8)</formula>
    </cfRule>
  </conditionalFormatting>
  <conditionalFormatting sqref="B10:H10">
    <cfRule type="expression" dxfId="38" priority="4">
      <formula>MonthToDisplayNumber&lt;&gt;MONTH(B10)</formula>
    </cfRule>
  </conditionalFormatting>
  <conditionalFormatting sqref="B12:H12">
    <cfRule type="expression" dxfId="37" priority="3">
      <formula>MonthToDisplayNumber&lt;&gt;MONTH(B12)</formula>
    </cfRule>
  </conditionalFormatting>
  <conditionalFormatting sqref="B14:H14">
    <cfRule type="expression" dxfId="3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1F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1F00-000001000000}"/>
    <dataValidation allowBlank="1" showInputMessage="1" showErrorMessage="1" prompt="Rows 12 and 14 may contain dates for the following month if the end of this month concludes in either row" sqref="B12" xr:uid="{00000000-0002-0000-1F00-000002000000}"/>
    <dataValidation allowBlank="1" showInputMessage="1" showErrorMessage="1" prompt="Enter daily notes in this cell. Rows 5, 7, 9, 11, 13 and 15 have cells beneath the day of the week for daily notes" sqref="B5" xr:uid="{00000000-0002-0000-1F00-000003000000}"/>
    <dataValidation allowBlank="1" showInputMessage="1" showErrorMessage="1" prompt="Enter the year for this calendar month" sqref="B1" xr:uid="{00000000-0002-0000-1F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1F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1F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1F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12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46565</v>
      </c>
      <c r="C3" s="2">
        <v>46566</v>
      </c>
      <c r="D3" s="2">
        <v>46567</v>
      </c>
      <c r="E3" s="2">
        <v>46568</v>
      </c>
      <c r="F3" s="2">
        <v>46569</v>
      </c>
      <c r="G3" s="2">
        <v>46570</v>
      </c>
      <c r="H3" s="2">
        <v>46571</v>
      </c>
    </row>
    <row r="4" spans="2:8" ht="24" customHeight="1" thickTop="1" x14ac:dyDescent="0.2">
      <c r="B4" s="3">
        <f t="array" ref="B4:H4">INDEX(calendar,ndx+0)</f>
        <v>46565</v>
      </c>
      <c r="C4" s="3">
        <v>46566</v>
      </c>
      <c r="D4" s="3">
        <v>46567</v>
      </c>
      <c r="E4" s="3">
        <v>46568</v>
      </c>
      <c r="F4" s="3">
        <v>46569</v>
      </c>
      <c r="G4" s="3">
        <v>46570</v>
      </c>
      <c r="H4" s="3">
        <v>46571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46572</v>
      </c>
      <c r="C6" s="4">
        <v>46573</v>
      </c>
      <c r="D6" s="4">
        <v>46574</v>
      </c>
      <c r="E6" s="4">
        <v>46575</v>
      </c>
      <c r="F6" s="4">
        <v>46576</v>
      </c>
      <c r="G6" s="4">
        <v>46577</v>
      </c>
      <c r="H6" s="4">
        <v>46578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46579</v>
      </c>
      <c r="C8" s="4">
        <v>46580</v>
      </c>
      <c r="D8" s="4">
        <v>46581</v>
      </c>
      <c r="E8" s="4">
        <v>46582</v>
      </c>
      <c r="F8" s="4">
        <v>46583</v>
      </c>
      <c r="G8" s="4">
        <v>46584</v>
      </c>
      <c r="H8" s="4">
        <v>46585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46586</v>
      </c>
      <c r="C10" s="4">
        <v>46587</v>
      </c>
      <c r="D10" s="4">
        <v>46588</v>
      </c>
      <c r="E10" s="4">
        <v>46589</v>
      </c>
      <c r="F10" s="4">
        <v>46590</v>
      </c>
      <c r="G10" s="4">
        <v>46591</v>
      </c>
      <c r="H10" s="4">
        <v>46592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46593</v>
      </c>
      <c r="C12" s="4">
        <v>46594</v>
      </c>
      <c r="D12" s="4">
        <v>46595</v>
      </c>
      <c r="E12" s="4">
        <v>46596</v>
      </c>
      <c r="F12" s="4">
        <v>46597</v>
      </c>
      <c r="G12" s="4">
        <v>46598</v>
      </c>
      <c r="H12" s="4">
        <v>46599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46600</v>
      </c>
      <c r="C14" s="4">
        <v>46601</v>
      </c>
      <c r="D14" s="4">
        <v>46602</v>
      </c>
      <c r="E14" s="4">
        <v>46603</v>
      </c>
      <c r="F14" s="4">
        <v>46604</v>
      </c>
      <c r="G14" s="4">
        <v>46605</v>
      </c>
      <c r="H14" s="4">
        <v>46606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35" priority="1">
      <formula>MonthToDisplayNumber&lt;&gt;MONTH(B4)</formula>
    </cfRule>
  </conditionalFormatting>
  <conditionalFormatting sqref="B6:H6">
    <cfRule type="expression" dxfId="34" priority="6">
      <formula>MonthToDisplayNumber&lt;&gt;MONTH(B6)</formula>
    </cfRule>
  </conditionalFormatting>
  <conditionalFormatting sqref="B8:H8">
    <cfRule type="expression" dxfId="33" priority="5">
      <formula>MonthToDisplayNumber&lt;&gt;MONTH(B8)</formula>
    </cfRule>
  </conditionalFormatting>
  <conditionalFormatting sqref="B10:H10">
    <cfRule type="expression" dxfId="32" priority="4">
      <formula>MonthToDisplayNumber&lt;&gt;MONTH(B10)</formula>
    </cfRule>
  </conditionalFormatting>
  <conditionalFormatting sqref="B12:H12">
    <cfRule type="expression" dxfId="31" priority="3">
      <formula>MonthToDisplayNumber&lt;&gt;MONTH(B12)</formula>
    </cfRule>
  </conditionalFormatting>
  <conditionalFormatting sqref="B14:H14">
    <cfRule type="expression" dxfId="3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0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000-000001000000}"/>
    <dataValidation allowBlank="1" showInputMessage="1" showErrorMessage="1" prompt="Rows 12 and 14 may contain dates for the following month if the end of this month concludes in either row" sqref="B12" xr:uid="{00000000-0002-0000-20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0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0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000-000005000000}"/>
    <dataValidation allowBlank="1" showInputMessage="1" showErrorMessage="1" prompt="Enter the year for this calendar month" sqref="B1" xr:uid="{00000000-0002-0000-2000-000006000000}"/>
    <dataValidation allowBlank="1" showInputMessage="1" showErrorMessage="1" prompt="Enter daily notes in this cell. Rows 5, 7, 9, 11, 13 and 15 have cells beneath the day of the week for daily notes" sqref="B5" xr:uid="{00000000-0002-0000-20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J2" sqref="J2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13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46600</v>
      </c>
      <c r="C3" s="2">
        <v>46601</v>
      </c>
      <c r="D3" s="2">
        <v>46602</v>
      </c>
      <c r="E3" s="2">
        <v>46603</v>
      </c>
      <c r="F3" s="2">
        <v>46604</v>
      </c>
      <c r="G3" s="2">
        <v>46605</v>
      </c>
      <c r="H3" s="2">
        <v>46606</v>
      </c>
    </row>
    <row r="4" spans="2:8" ht="24" customHeight="1" thickTop="1" x14ac:dyDescent="0.2">
      <c r="B4" s="3">
        <f t="array" ref="B4:H4">INDEX(calendar,ndx+0)</f>
        <v>46600</v>
      </c>
      <c r="C4" s="3">
        <v>46601</v>
      </c>
      <c r="D4" s="3">
        <v>46602</v>
      </c>
      <c r="E4" s="3">
        <v>46603</v>
      </c>
      <c r="F4" s="3">
        <v>46604</v>
      </c>
      <c r="G4" s="3">
        <v>46605</v>
      </c>
      <c r="H4" s="3">
        <v>46606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46607</v>
      </c>
      <c r="C6" s="4">
        <v>46608</v>
      </c>
      <c r="D6" s="4">
        <v>46609</v>
      </c>
      <c r="E6" s="4">
        <v>46610</v>
      </c>
      <c r="F6" s="4">
        <v>46611</v>
      </c>
      <c r="G6" s="4">
        <v>46612</v>
      </c>
      <c r="H6" s="4">
        <v>46613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46614</v>
      </c>
      <c r="C8" s="4">
        <v>46615</v>
      </c>
      <c r="D8" s="4">
        <v>46616</v>
      </c>
      <c r="E8" s="4">
        <v>46617</v>
      </c>
      <c r="F8" s="4">
        <v>46618</v>
      </c>
      <c r="G8" s="4">
        <v>46619</v>
      </c>
      <c r="H8" s="4">
        <v>46620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46621</v>
      </c>
      <c r="C10" s="4">
        <v>46622</v>
      </c>
      <c r="D10" s="4">
        <v>46623</v>
      </c>
      <c r="E10" s="4">
        <v>46624</v>
      </c>
      <c r="F10" s="4">
        <v>46625</v>
      </c>
      <c r="G10" s="4">
        <v>46626</v>
      </c>
      <c r="H10" s="4">
        <v>46627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46628</v>
      </c>
      <c r="C12" s="4">
        <v>46629</v>
      </c>
      <c r="D12" s="4">
        <v>46630</v>
      </c>
      <c r="E12" s="4">
        <v>46631</v>
      </c>
      <c r="F12" s="4">
        <v>46632</v>
      </c>
      <c r="G12" s="4">
        <v>46633</v>
      </c>
      <c r="H12" s="4">
        <v>46634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46635</v>
      </c>
      <c r="C14" s="4">
        <v>46636</v>
      </c>
      <c r="D14" s="4">
        <v>46637</v>
      </c>
      <c r="E14" s="4">
        <v>46638</v>
      </c>
      <c r="F14" s="4">
        <v>46639</v>
      </c>
      <c r="G14" s="4">
        <v>46640</v>
      </c>
      <c r="H14" s="4">
        <v>46641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9" priority="1">
      <formula>MonthToDisplayNumber&lt;&gt;MONTH(B4)</formula>
    </cfRule>
  </conditionalFormatting>
  <conditionalFormatting sqref="B6:H6">
    <cfRule type="expression" dxfId="28" priority="6">
      <formula>MonthToDisplayNumber&lt;&gt;MONTH(B6)</formula>
    </cfRule>
  </conditionalFormatting>
  <conditionalFormatting sqref="B8:H8">
    <cfRule type="expression" dxfId="27" priority="5">
      <formula>MonthToDisplayNumber&lt;&gt;MONTH(B8)</formula>
    </cfRule>
  </conditionalFormatting>
  <conditionalFormatting sqref="B10:H10">
    <cfRule type="expression" dxfId="26" priority="4">
      <formula>MonthToDisplayNumber&lt;&gt;MONTH(B10)</formula>
    </cfRule>
  </conditionalFormatting>
  <conditionalFormatting sqref="B12:H12">
    <cfRule type="expression" dxfId="25" priority="3">
      <formula>MonthToDisplayNumber&lt;&gt;MONTH(B12)</formula>
    </cfRule>
  </conditionalFormatting>
  <conditionalFormatting sqref="B14:H14">
    <cfRule type="expression" dxfId="24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1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100-000001000000}"/>
    <dataValidation allowBlank="1" showInputMessage="1" showErrorMessage="1" prompt="Rows 12 and 14 may contain dates for the following month if the end of this month concludes in either row" sqref="B12" xr:uid="{00000000-0002-0000-2100-000002000000}"/>
    <dataValidation allowBlank="1" showInputMessage="1" showErrorMessage="1" prompt="Enter daily notes in this cell. Rows 5, 7, 9, 11, 13 and 15 have cells beneath the day of the week for daily notes" sqref="B5" xr:uid="{00000000-0002-0000-2100-000003000000}"/>
    <dataValidation allowBlank="1" showInputMessage="1" showErrorMessage="1" prompt="Enter the year for this calendar month" sqref="B1" xr:uid="{00000000-0002-0000-21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1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1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1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46628</v>
      </c>
      <c r="C3" s="2">
        <v>46629</v>
      </c>
      <c r="D3" s="2">
        <v>46630</v>
      </c>
      <c r="E3" s="2">
        <v>46631</v>
      </c>
      <c r="F3" s="2">
        <v>46632</v>
      </c>
      <c r="G3" s="2">
        <v>46633</v>
      </c>
      <c r="H3" s="2">
        <v>46634</v>
      </c>
    </row>
    <row r="4" spans="2:8" ht="24" customHeight="1" thickTop="1" x14ac:dyDescent="0.2">
      <c r="B4" s="3">
        <f t="array" ref="B4:H4">INDEX(calendar,ndx+0)</f>
        <v>46628</v>
      </c>
      <c r="C4" s="3">
        <v>46629</v>
      </c>
      <c r="D4" s="3">
        <v>46630</v>
      </c>
      <c r="E4" s="3">
        <v>46631</v>
      </c>
      <c r="F4" s="3">
        <v>46632</v>
      </c>
      <c r="G4" s="3">
        <v>46633</v>
      </c>
      <c r="H4" s="3">
        <v>46634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46635</v>
      </c>
      <c r="C6" s="4">
        <v>46636</v>
      </c>
      <c r="D6" s="4">
        <v>46637</v>
      </c>
      <c r="E6" s="4">
        <v>46638</v>
      </c>
      <c r="F6" s="4">
        <v>46639</v>
      </c>
      <c r="G6" s="4">
        <v>46640</v>
      </c>
      <c r="H6" s="4">
        <v>46641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46642</v>
      </c>
      <c r="C8" s="4">
        <v>46643</v>
      </c>
      <c r="D8" s="4">
        <v>46644</v>
      </c>
      <c r="E8" s="4">
        <v>46645</v>
      </c>
      <c r="F8" s="4">
        <v>46646</v>
      </c>
      <c r="G8" s="4">
        <v>46647</v>
      </c>
      <c r="H8" s="4">
        <v>46648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46649</v>
      </c>
      <c r="C10" s="4">
        <v>46650</v>
      </c>
      <c r="D10" s="4">
        <v>46651</v>
      </c>
      <c r="E10" s="4">
        <v>46652</v>
      </c>
      <c r="F10" s="4">
        <v>46653</v>
      </c>
      <c r="G10" s="4">
        <v>46654</v>
      </c>
      <c r="H10" s="4">
        <v>46655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46656</v>
      </c>
      <c r="C12" s="4">
        <v>46657</v>
      </c>
      <c r="D12" s="4">
        <v>46658</v>
      </c>
      <c r="E12" s="4">
        <v>46659</v>
      </c>
      <c r="F12" s="4">
        <v>46660</v>
      </c>
      <c r="G12" s="4">
        <v>46661</v>
      </c>
      <c r="H12" s="4">
        <v>46662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46663</v>
      </c>
      <c r="C14" s="4">
        <v>46664</v>
      </c>
      <c r="D14" s="4">
        <v>46665</v>
      </c>
      <c r="E14" s="4">
        <v>46666</v>
      </c>
      <c r="F14" s="4">
        <v>46667</v>
      </c>
      <c r="G14" s="4">
        <v>46668</v>
      </c>
      <c r="H14" s="4">
        <v>46669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23" priority="1">
      <formula>MonthToDisplayNumber&lt;&gt;MONTH(B4)</formula>
    </cfRule>
  </conditionalFormatting>
  <conditionalFormatting sqref="B6:H6">
    <cfRule type="expression" dxfId="22" priority="6">
      <formula>MonthToDisplayNumber&lt;&gt;MONTH(B6)</formula>
    </cfRule>
  </conditionalFormatting>
  <conditionalFormatting sqref="B8:H8">
    <cfRule type="expression" dxfId="21" priority="5">
      <formula>MonthToDisplayNumber&lt;&gt;MONTH(B8)</formula>
    </cfRule>
  </conditionalFormatting>
  <conditionalFormatting sqref="B10:H10">
    <cfRule type="expression" dxfId="20" priority="4">
      <formula>MonthToDisplayNumber&lt;&gt;MONTH(B10)</formula>
    </cfRule>
  </conditionalFormatting>
  <conditionalFormatting sqref="B12:H12">
    <cfRule type="expression" dxfId="19" priority="3">
      <formula>MonthToDisplayNumber&lt;&gt;MONTH(B12)</formula>
    </cfRule>
  </conditionalFormatting>
  <conditionalFormatting sqref="B14:H14">
    <cfRule type="expression" dxfId="18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2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200-000001000000}"/>
    <dataValidation allowBlank="1" showInputMessage="1" showErrorMessage="1" prompt="Rows 12 and 14 may contain dates for the following month if the end of this month concludes in either row" sqref="B12" xr:uid="{00000000-0002-0000-22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2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2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200-000005000000}"/>
    <dataValidation allowBlank="1" showInputMessage="1" showErrorMessage="1" prompt="Enter the year for this calendar month" sqref="B1" xr:uid="{00000000-0002-0000-2200-000006000000}"/>
    <dataValidation allowBlank="1" showInputMessage="1" showErrorMessage="1" prompt="Enter daily notes in this cell. Rows 5, 7, 9, 11, 13 and 15 have cells beneath the day of the week for daily notes" sqref="B5" xr:uid="{00000000-0002-0000-22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15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46656</v>
      </c>
      <c r="C3" s="2">
        <v>46657</v>
      </c>
      <c r="D3" s="2">
        <v>46658</v>
      </c>
      <c r="E3" s="2">
        <v>46659</v>
      </c>
      <c r="F3" s="2">
        <v>46660</v>
      </c>
      <c r="G3" s="2">
        <v>46661</v>
      </c>
      <c r="H3" s="2">
        <v>46662</v>
      </c>
    </row>
    <row r="4" spans="2:8" ht="24" customHeight="1" thickTop="1" x14ac:dyDescent="0.2">
      <c r="B4" s="3">
        <f t="array" ref="B4:H4">INDEX(calendar,ndx+0)</f>
        <v>46656</v>
      </c>
      <c r="C4" s="3">
        <v>46657</v>
      </c>
      <c r="D4" s="3">
        <v>46658</v>
      </c>
      <c r="E4" s="3">
        <v>46659</v>
      </c>
      <c r="F4" s="3">
        <v>46660</v>
      </c>
      <c r="G4" s="3">
        <v>46661</v>
      </c>
      <c r="H4" s="3">
        <v>46662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46663</v>
      </c>
      <c r="C6" s="4">
        <v>46664</v>
      </c>
      <c r="D6" s="4">
        <v>46665</v>
      </c>
      <c r="E6" s="4">
        <v>46666</v>
      </c>
      <c r="F6" s="4">
        <v>46667</v>
      </c>
      <c r="G6" s="4">
        <v>46668</v>
      </c>
      <c r="H6" s="4">
        <v>46669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46670</v>
      </c>
      <c r="C8" s="4">
        <v>46671</v>
      </c>
      <c r="D8" s="4">
        <v>46672</v>
      </c>
      <c r="E8" s="4">
        <v>46673</v>
      </c>
      <c r="F8" s="4">
        <v>46674</v>
      </c>
      <c r="G8" s="4">
        <v>46675</v>
      </c>
      <c r="H8" s="4">
        <v>46676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46677</v>
      </c>
      <c r="C10" s="4">
        <v>46678</v>
      </c>
      <c r="D10" s="4">
        <v>46679</v>
      </c>
      <c r="E10" s="4">
        <v>46680</v>
      </c>
      <c r="F10" s="4">
        <v>46681</v>
      </c>
      <c r="G10" s="4">
        <v>46682</v>
      </c>
      <c r="H10" s="4">
        <v>46683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46684</v>
      </c>
      <c r="C12" s="4">
        <v>46685</v>
      </c>
      <c r="D12" s="4">
        <v>46686</v>
      </c>
      <c r="E12" s="4">
        <v>46687</v>
      </c>
      <c r="F12" s="4">
        <v>46688</v>
      </c>
      <c r="G12" s="4">
        <v>46689</v>
      </c>
      <c r="H12" s="4">
        <v>46690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46691</v>
      </c>
      <c r="C14" s="4">
        <v>46692</v>
      </c>
      <c r="D14" s="4">
        <v>46693</v>
      </c>
      <c r="E14" s="4">
        <v>46694</v>
      </c>
      <c r="F14" s="4">
        <v>46695</v>
      </c>
      <c r="G14" s="4">
        <v>46696</v>
      </c>
      <c r="H14" s="4">
        <v>46697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7" priority="1">
      <formula>MonthToDisplayNumber&lt;&gt;MONTH(B4)</formula>
    </cfRule>
  </conditionalFormatting>
  <conditionalFormatting sqref="B6:H6">
    <cfRule type="expression" dxfId="16" priority="6">
      <formula>MonthToDisplayNumber&lt;&gt;MONTH(B6)</formula>
    </cfRule>
  </conditionalFormatting>
  <conditionalFormatting sqref="B8:H8">
    <cfRule type="expression" dxfId="15" priority="5">
      <formula>MonthToDisplayNumber&lt;&gt;MONTH(B8)</formula>
    </cfRule>
  </conditionalFormatting>
  <conditionalFormatting sqref="B10:H10">
    <cfRule type="expression" dxfId="14" priority="4">
      <formula>MonthToDisplayNumber&lt;&gt;MONTH(B10)</formula>
    </cfRule>
  </conditionalFormatting>
  <conditionalFormatting sqref="B12:H12">
    <cfRule type="expression" dxfId="13" priority="3">
      <formula>MonthToDisplayNumber&lt;&gt;MONTH(B12)</formula>
    </cfRule>
  </conditionalFormatting>
  <conditionalFormatting sqref="B14:H14">
    <cfRule type="expression" dxfId="12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3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300-000001000000}"/>
    <dataValidation allowBlank="1" showInputMessage="1" showErrorMessage="1" prompt="Rows 12 and 14 may contain dates for the following month if the end of this month concludes in either row" sqref="B12" xr:uid="{00000000-0002-0000-2300-000002000000}"/>
    <dataValidation allowBlank="1" showInputMessage="1" showErrorMessage="1" prompt="Enter daily notes in this cell. Rows 5, 7, 9, 11, 13 and 15 have cells beneath the day of the week for daily notes" sqref="B5" xr:uid="{00000000-0002-0000-2300-000003000000}"/>
    <dataValidation allowBlank="1" showInputMessage="1" showErrorMessage="1" prompt="Enter the year for this calendar month" sqref="B1" xr:uid="{00000000-0002-0000-23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3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3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3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4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46691</v>
      </c>
      <c r="C3" s="2">
        <v>46692</v>
      </c>
      <c r="D3" s="2">
        <v>46693</v>
      </c>
      <c r="E3" s="2">
        <v>46694</v>
      </c>
      <c r="F3" s="2">
        <v>46695</v>
      </c>
      <c r="G3" s="2">
        <v>46696</v>
      </c>
      <c r="H3" s="2">
        <v>46697</v>
      </c>
    </row>
    <row r="4" spans="2:8" ht="24" customHeight="1" thickTop="1" x14ac:dyDescent="0.2">
      <c r="B4" s="3">
        <f t="array" ref="B4:H4">INDEX(calendar,ndx+0)</f>
        <v>46691</v>
      </c>
      <c r="C4" s="3">
        <v>46692</v>
      </c>
      <c r="D4" s="3">
        <v>46693</v>
      </c>
      <c r="E4" s="3">
        <v>46694</v>
      </c>
      <c r="F4" s="3">
        <v>46695</v>
      </c>
      <c r="G4" s="3">
        <v>46696</v>
      </c>
      <c r="H4" s="3">
        <v>46697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46698</v>
      </c>
      <c r="C6" s="4">
        <v>46699</v>
      </c>
      <c r="D6" s="4">
        <v>46700</v>
      </c>
      <c r="E6" s="4">
        <v>46701</v>
      </c>
      <c r="F6" s="4">
        <v>46702</v>
      </c>
      <c r="G6" s="4">
        <v>46703</v>
      </c>
      <c r="H6" s="4">
        <v>46704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46705</v>
      </c>
      <c r="C8" s="4">
        <v>46706</v>
      </c>
      <c r="D8" s="4">
        <v>46707</v>
      </c>
      <c r="E8" s="4">
        <v>46708</v>
      </c>
      <c r="F8" s="4">
        <v>46709</v>
      </c>
      <c r="G8" s="4">
        <v>46710</v>
      </c>
      <c r="H8" s="4">
        <v>46711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46712</v>
      </c>
      <c r="C10" s="4">
        <v>46713</v>
      </c>
      <c r="D10" s="4">
        <v>46714</v>
      </c>
      <c r="E10" s="4">
        <v>46715</v>
      </c>
      <c r="F10" s="4">
        <v>46716</v>
      </c>
      <c r="G10" s="4">
        <v>46717</v>
      </c>
      <c r="H10" s="4">
        <v>46718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46719</v>
      </c>
      <c r="C12" s="4">
        <v>46720</v>
      </c>
      <c r="D12" s="4">
        <v>46721</v>
      </c>
      <c r="E12" s="4">
        <v>46722</v>
      </c>
      <c r="F12" s="4">
        <v>46723</v>
      </c>
      <c r="G12" s="4">
        <v>46724</v>
      </c>
      <c r="H12" s="4">
        <v>46725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46726</v>
      </c>
      <c r="C14" s="4">
        <v>46727</v>
      </c>
      <c r="D14" s="4">
        <v>46728</v>
      </c>
      <c r="E14" s="4">
        <v>46729</v>
      </c>
      <c r="F14" s="4">
        <v>46730</v>
      </c>
      <c r="G14" s="4">
        <v>46731</v>
      </c>
      <c r="H14" s="4">
        <v>46732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1" priority="1">
      <formula>MonthToDisplayNumber&lt;&gt;MONTH(B4)</formula>
    </cfRule>
  </conditionalFormatting>
  <conditionalFormatting sqref="B6:H6">
    <cfRule type="expression" dxfId="10" priority="6">
      <formula>MonthToDisplayNumber&lt;&gt;MONTH(B6)</formula>
    </cfRule>
  </conditionalFormatting>
  <conditionalFormatting sqref="B8:H8">
    <cfRule type="expression" dxfId="9" priority="5">
      <formula>MonthToDisplayNumber&lt;&gt;MONTH(B8)</formula>
    </cfRule>
  </conditionalFormatting>
  <conditionalFormatting sqref="B10:H10">
    <cfRule type="expression" dxfId="8" priority="4">
      <formula>MonthToDisplayNumber&lt;&gt;MONTH(B10)</formula>
    </cfRule>
  </conditionalFormatting>
  <conditionalFormatting sqref="B12:H12">
    <cfRule type="expression" dxfId="7" priority="3">
      <formula>MonthToDisplayNumber&lt;&gt;MONTH(B12)</formula>
    </cfRule>
  </conditionalFormatting>
  <conditionalFormatting sqref="B14:H14">
    <cfRule type="expression" dxfId="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4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400-000001000000}"/>
    <dataValidation allowBlank="1" showInputMessage="1" showErrorMessage="1" prompt="Rows 12 and 14 may contain dates for the following month if the end of this month concludes in either row" sqref="B12" xr:uid="{00000000-0002-0000-2400-000002000000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400-000003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400-000004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400-000005000000}"/>
    <dataValidation allowBlank="1" showInputMessage="1" showErrorMessage="1" prompt="Enter the year for this calendar month" sqref="B1" xr:uid="{00000000-0002-0000-2400-000006000000}"/>
    <dataValidation allowBlank="1" showInputMessage="1" showErrorMessage="1" prompt="Enter daily notes in this cell. Rows 5, 7, 9, 11, 13 and 15 have cells beneath the day of the week for daily notes" sqref="B5" xr:uid="{00000000-0002-0000-24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 tint="-0.499984740745262"/>
    <pageSetUpPr fitToPage="1"/>
  </sheetPr>
  <dimension ref="B1:H15"/>
  <sheetViews>
    <sheetView showGridLines="0" showRuler="0" zoomScaleNormal="100" workbookViewId="0">
      <selection activeCell="L9" sqref="L9"/>
    </sheetView>
  </sheetViews>
  <sheetFormatPr baseColWidth="10" defaultColWidth="8.83203125" defaultRowHeight="15" x14ac:dyDescent="0.2"/>
  <cols>
    <col min="1" max="1" width="2.5" customWidth="1"/>
    <col min="2" max="8" width="20.6640625" customWidth="1"/>
  </cols>
  <sheetData>
    <row r="1" spans="2:8" ht="45" customHeight="1" x14ac:dyDescent="0.5">
      <c r="B1" s="7">
        <v>2027</v>
      </c>
      <c r="C1" s="13" t="s">
        <v>5</v>
      </c>
      <c r="D1" s="13"/>
      <c r="E1" s="8" t="s">
        <v>6</v>
      </c>
    </row>
    <row r="2" spans="2:8" ht="30" customHeight="1" x14ac:dyDescent="0.2">
      <c r="B2" s="1" t="s">
        <v>2</v>
      </c>
      <c r="C2" s="14" t="s">
        <v>3</v>
      </c>
      <c r="D2" s="14"/>
      <c r="E2" s="9" t="s">
        <v>0</v>
      </c>
    </row>
    <row r="3" spans="2:8" ht="19.5" customHeight="1" thickBot="1" x14ac:dyDescent="0.25">
      <c r="B3" s="2">
        <f t="array" ref="B3:H3">calendar</f>
        <v>46719</v>
      </c>
      <c r="C3" s="2">
        <v>46720</v>
      </c>
      <c r="D3" s="2">
        <v>46721</v>
      </c>
      <c r="E3" s="2">
        <v>46722</v>
      </c>
      <c r="F3" s="2">
        <v>46723</v>
      </c>
      <c r="G3" s="2">
        <v>46724</v>
      </c>
      <c r="H3" s="2">
        <v>46725</v>
      </c>
    </row>
    <row r="4" spans="2:8" ht="24" customHeight="1" thickTop="1" x14ac:dyDescent="0.2">
      <c r="B4" s="3">
        <f t="array" ref="B4:H4">INDEX(calendar,ndx+0)</f>
        <v>46719</v>
      </c>
      <c r="C4" s="3">
        <v>46720</v>
      </c>
      <c r="D4" s="3">
        <v>46721</v>
      </c>
      <c r="E4" s="3">
        <v>46722</v>
      </c>
      <c r="F4" s="3">
        <v>46723</v>
      </c>
      <c r="G4" s="3">
        <v>46724</v>
      </c>
      <c r="H4" s="3">
        <v>46725</v>
      </c>
    </row>
    <row r="5" spans="2:8" ht="51" customHeight="1" x14ac:dyDescent="0.2">
      <c r="B5" s="6"/>
      <c r="C5" s="6"/>
      <c r="D5" s="6"/>
      <c r="E5" s="6"/>
      <c r="F5" s="6"/>
      <c r="G5" s="6"/>
      <c r="H5" s="6"/>
    </row>
    <row r="6" spans="2:8" ht="24" customHeight="1" x14ac:dyDescent="0.2">
      <c r="B6" s="4">
        <f t="array" ref="B6:H6">INDEX(calendar,ndx+1)</f>
        <v>46726</v>
      </c>
      <c r="C6" s="4">
        <v>46727</v>
      </c>
      <c r="D6" s="4">
        <v>46728</v>
      </c>
      <c r="E6" s="4">
        <v>46729</v>
      </c>
      <c r="F6" s="4">
        <v>46730</v>
      </c>
      <c r="G6" s="4">
        <v>46731</v>
      </c>
      <c r="H6" s="4">
        <v>46732</v>
      </c>
    </row>
    <row r="7" spans="2:8" ht="51" customHeight="1" x14ac:dyDescent="0.2">
      <c r="B7" s="6"/>
      <c r="C7" s="5"/>
      <c r="D7" s="5"/>
      <c r="E7" s="5"/>
      <c r="F7" s="5"/>
      <c r="G7" s="5"/>
      <c r="H7" s="5"/>
    </row>
    <row r="8" spans="2:8" ht="24" customHeight="1" x14ac:dyDescent="0.2">
      <c r="B8" s="4">
        <f t="array" ref="B8:H8">INDEX(calendar,ndx+2)</f>
        <v>46733</v>
      </c>
      <c r="C8" s="4">
        <v>46734</v>
      </c>
      <c r="D8" s="4">
        <v>46735</v>
      </c>
      <c r="E8" s="4">
        <v>46736</v>
      </c>
      <c r="F8" s="4">
        <v>46737</v>
      </c>
      <c r="G8" s="4">
        <v>46738</v>
      </c>
      <c r="H8" s="4">
        <v>46739</v>
      </c>
    </row>
    <row r="9" spans="2:8" ht="51" customHeight="1" x14ac:dyDescent="0.2">
      <c r="B9" s="6"/>
      <c r="C9" s="5"/>
      <c r="D9" s="5"/>
      <c r="E9" s="5"/>
      <c r="F9" s="5"/>
      <c r="G9" s="5"/>
      <c r="H9" s="5"/>
    </row>
    <row r="10" spans="2:8" ht="24" customHeight="1" x14ac:dyDescent="0.2">
      <c r="B10" s="4">
        <f t="array" ref="B10:H10">INDEX(calendar,ndx+3)</f>
        <v>46740</v>
      </c>
      <c r="C10" s="4">
        <v>46741</v>
      </c>
      <c r="D10" s="4">
        <v>46742</v>
      </c>
      <c r="E10" s="4">
        <v>46743</v>
      </c>
      <c r="F10" s="4">
        <v>46744</v>
      </c>
      <c r="G10" s="4">
        <v>46745</v>
      </c>
      <c r="H10" s="4">
        <v>46746</v>
      </c>
    </row>
    <row r="11" spans="2:8" ht="51" customHeight="1" x14ac:dyDescent="0.2">
      <c r="B11" s="5"/>
      <c r="C11" s="5"/>
      <c r="D11" s="5"/>
      <c r="E11" s="5"/>
      <c r="F11" s="5" t="s">
        <v>223</v>
      </c>
      <c r="G11" s="5"/>
      <c r="H11" s="5"/>
    </row>
    <row r="12" spans="2:8" ht="24" customHeight="1" x14ac:dyDescent="0.2">
      <c r="B12" s="4">
        <f t="array" ref="B12:H12">INDEX(calendar,ndx+4)</f>
        <v>46747</v>
      </c>
      <c r="C12" s="4">
        <v>46748</v>
      </c>
      <c r="D12" s="4">
        <v>46749</v>
      </c>
      <c r="E12" s="4">
        <v>46750</v>
      </c>
      <c r="F12" s="4">
        <v>46751</v>
      </c>
      <c r="G12" s="4">
        <v>46752</v>
      </c>
      <c r="H12" s="4">
        <v>46753</v>
      </c>
    </row>
    <row r="13" spans="2:8" ht="51" customHeight="1" x14ac:dyDescent="0.2">
      <c r="B13" s="5"/>
      <c r="C13" s="6"/>
      <c r="D13" s="6"/>
      <c r="E13" s="6"/>
      <c r="F13" s="5" t="s">
        <v>225</v>
      </c>
      <c r="G13" s="5"/>
      <c r="H13" s="5"/>
    </row>
    <row r="14" spans="2:8" ht="23.25" customHeight="1" x14ac:dyDescent="0.2">
      <c r="B14" s="4">
        <f t="array" ref="B14:H14">INDEX(calendar,ndx+5)</f>
        <v>46754</v>
      </c>
      <c r="C14" s="4">
        <v>46755</v>
      </c>
      <c r="D14" s="4">
        <v>46756</v>
      </c>
      <c r="E14" s="4">
        <v>46757</v>
      </c>
      <c r="F14" s="4">
        <v>46758</v>
      </c>
      <c r="G14" s="4">
        <v>46759</v>
      </c>
      <c r="H14" s="4">
        <v>46760</v>
      </c>
    </row>
    <row r="15" spans="2:8" ht="51" customHeight="1" x14ac:dyDescent="0.2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5" priority="1">
      <formula>MonthToDisplayNumber&lt;&gt;MONTH(B4)</formula>
    </cfRule>
  </conditionalFormatting>
  <conditionalFormatting sqref="B6:H6">
    <cfRule type="expression" dxfId="4" priority="6">
      <formula>MonthToDisplayNumber&lt;&gt;MONTH(B6)</formula>
    </cfRule>
  </conditionalFormatting>
  <conditionalFormatting sqref="B8:H8">
    <cfRule type="expression" dxfId="3" priority="5">
      <formula>MonthToDisplayNumber&lt;&gt;MONTH(B8)</formula>
    </cfRule>
  </conditionalFormatting>
  <conditionalFormatting sqref="B10:H10">
    <cfRule type="expression" dxfId="2" priority="4">
      <formula>MonthToDisplayNumber&lt;&gt;MONTH(B10)</formula>
    </cfRule>
  </conditionalFormatting>
  <conditionalFormatting sqref="B12:H12">
    <cfRule type="expression" dxfId="1" priority="3">
      <formula>MonthToDisplayNumber&lt;&gt;MONTH(B12)</formula>
    </cfRule>
  </conditionalFormatting>
  <conditionalFormatting sqref="B14:H14">
    <cfRule type="expression" dxfId="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2500-000000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2500-000001000000}"/>
    <dataValidation allowBlank="1" showInputMessage="1" showErrorMessage="1" prompt="Rows 12 and 14 may contain dates for the following month if the end of this month concludes in either row" sqref="B12" xr:uid="{00000000-0002-0000-2500-000002000000}"/>
    <dataValidation allowBlank="1" showInputMessage="1" showErrorMessage="1" prompt="Enter daily notes in this cell. Rows 5, 7, 9, 11, 13 and 15 have cells beneath the day of the week for daily notes" sqref="B5" xr:uid="{00000000-0002-0000-2500-000003000000}"/>
    <dataValidation allowBlank="1" showInputMessage="1" showErrorMessage="1" prompt="Enter the year for this calendar month" sqref="B1" xr:uid="{00000000-0002-0000-2500-000004000000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2500-000005000000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2500-000006000000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2500-000007000000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152</vt:i4>
      </vt:variant>
    </vt:vector>
  </HeadingPairs>
  <TitlesOfParts>
    <vt:vector size="190" baseType="lpstr">
      <vt:lpstr>November 2024</vt:lpstr>
      <vt:lpstr>December 2024 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  <vt:lpstr>January 2027</vt:lpstr>
      <vt:lpstr>February 2027</vt:lpstr>
      <vt:lpstr>March 2027</vt:lpstr>
      <vt:lpstr>April 2027</vt:lpstr>
      <vt:lpstr>May 2027</vt:lpstr>
      <vt:lpstr>June 2027</vt:lpstr>
      <vt:lpstr>July 2027</vt:lpstr>
      <vt:lpstr>August 2027</vt:lpstr>
      <vt:lpstr>September 2027</vt:lpstr>
      <vt:lpstr>October 2027</vt:lpstr>
      <vt:lpstr>November 2027</vt:lpstr>
      <vt:lpstr>December 2027</vt:lpstr>
      <vt:lpstr>'April 2025'!DayToStart</vt:lpstr>
      <vt:lpstr>'April 2026'!DayToStart</vt:lpstr>
      <vt:lpstr>'April 2027'!DayToStart</vt:lpstr>
      <vt:lpstr>'August 2025'!DayToStart</vt:lpstr>
      <vt:lpstr>'August 2026'!DayToStart</vt:lpstr>
      <vt:lpstr>'August 2027'!DayToStart</vt:lpstr>
      <vt:lpstr>'December 2024 '!DayToStart</vt:lpstr>
      <vt:lpstr>'December 2025'!DayToStart</vt:lpstr>
      <vt:lpstr>'December 2026'!DayToStart</vt:lpstr>
      <vt:lpstr>'December 2027'!DayToStart</vt:lpstr>
      <vt:lpstr>'February 2026'!DayToStart</vt:lpstr>
      <vt:lpstr>'February 2027'!DayToStart</vt:lpstr>
      <vt:lpstr>'January 2025'!DayToStart</vt:lpstr>
      <vt:lpstr>'January 2026'!DayToStart</vt:lpstr>
      <vt:lpstr>'January 2027'!DayToStart</vt:lpstr>
      <vt:lpstr>'July 2025'!DayToStart</vt:lpstr>
      <vt:lpstr>'July 2026'!DayToStart</vt:lpstr>
      <vt:lpstr>'July 2027'!DayToStart</vt:lpstr>
      <vt:lpstr>'June 2025'!DayToStart</vt:lpstr>
      <vt:lpstr>'June 2026'!DayToStart</vt:lpstr>
      <vt:lpstr>'June 2027'!DayToStart</vt:lpstr>
      <vt:lpstr>'March 2025'!DayToStart</vt:lpstr>
      <vt:lpstr>'March 2026'!DayToStart</vt:lpstr>
      <vt:lpstr>'March 2027'!DayToStart</vt:lpstr>
      <vt:lpstr>'May 2025'!DayToStart</vt:lpstr>
      <vt:lpstr>'May 2026'!DayToStart</vt:lpstr>
      <vt:lpstr>'May 2027'!DayToStart</vt:lpstr>
      <vt:lpstr>'November 2024'!DayToStart</vt:lpstr>
      <vt:lpstr>'November 2025'!DayToStart</vt:lpstr>
      <vt:lpstr>'November 2026'!DayToStart</vt:lpstr>
      <vt:lpstr>'November 2027'!DayToStart</vt:lpstr>
      <vt:lpstr>'October 2025'!DayToStart</vt:lpstr>
      <vt:lpstr>'October 2026'!DayToStart</vt:lpstr>
      <vt:lpstr>'October 2027'!DayToStart</vt:lpstr>
      <vt:lpstr>'September 2025'!DayToStart</vt:lpstr>
      <vt:lpstr>'September 2026'!DayToStart</vt:lpstr>
      <vt:lpstr>'September 2027'!DayToStart</vt:lpstr>
      <vt:lpstr>DayToStart</vt:lpstr>
      <vt:lpstr>'April 2025'!MonthToDisplay</vt:lpstr>
      <vt:lpstr>'April 2026'!MonthToDisplay</vt:lpstr>
      <vt:lpstr>'April 2027'!MonthToDisplay</vt:lpstr>
      <vt:lpstr>'August 2025'!MonthToDisplay</vt:lpstr>
      <vt:lpstr>'August 2026'!MonthToDisplay</vt:lpstr>
      <vt:lpstr>'August 2027'!MonthToDisplay</vt:lpstr>
      <vt:lpstr>'December 2024 '!MonthToDisplay</vt:lpstr>
      <vt:lpstr>'December 2025'!MonthToDisplay</vt:lpstr>
      <vt:lpstr>'December 2026'!MonthToDisplay</vt:lpstr>
      <vt:lpstr>'December 2027'!MonthToDisplay</vt:lpstr>
      <vt:lpstr>'February 2025'!MonthToDisplay</vt:lpstr>
      <vt:lpstr>'February 2026'!MonthToDisplay</vt:lpstr>
      <vt:lpstr>'February 2027'!MonthToDisplay</vt:lpstr>
      <vt:lpstr>'January 2025'!MonthToDisplay</vt:lpstr>
      <vt:lpstr>'January 2026'!MonthToDisplay</vt:lpstr>
      <vt:lpstr>'January 2027'!MonthToDisplay</vt:lpstr>
      <vt:lpstr>'July 2025'!MonthToDisplay</vt:lpstr>
      <vt:lpstr>'July 2026'!MonthToDisplay</vt:lpstr>
      <vt:lpstr>'July 2027'!MonthToDisplay</vt:lpstr>
      <vt:lpstr>'June 2025'!MonthToDisplay</vt:lpstr>
      <vt:lpstr>'June 2026'!MonthToDisplay</vt:lpstr>
      <vt:lpstr>'June 2027'!MonthToDisplay</vt:lpstr>
      <vt:lpstr>'March 2025'!MonthToDisplay</vt:lpstr>
      <vt:lpstr>'March 2026'!MonthToDisplay</vt:lpstr>
      <vt:lpstr>'March 2027'!MonthToDisplay</vt:lpstr>
      <vt:lpstr>'May 2025'!MonthToDisplay</vt:lpstr>
      <vt:lpstr>'May 2026'!MonthToDisplay</vt:lpstr>
      <vt:lpstr>'May 2027'!MonthToDisplay</vt:lpstr>
      <vt:lpstr>'November 2024'!MonthToDisplay</vt:lpstr>
      <vt:lpstr>'November 2025'!MonthToDisplay</vt:lpstr>
      <vt:lpstr>'November 2026'!MonthToDisplay</vt:lpstr>
      <vt:lpstr>'November 2027'!MonthToDisplay</vt:lpstr>
      <vt:lpstr>'October 2025'!MonthToDisplay</vt:lpstr>
      <vt:lpstr>'October 2026'!MonthToDisplay</vt:lpstr>
      <vt:lpstr>'October 2027'!MonthToDisplay</vt:lpstr>
      <vt:lpstr>'September 2025'!MonthToDisplay</vt:lpstr>
      <vt:lpstr>'September 2026'!MonthToDisplay</vt:lpstr>
      <vt:lpstr>'September 2027'!MonthToDisplay</vt:lpstr>
      <vt:lpstr>'April 2025'!Print_Titles</vt:lpstr>
      <vt:lpstr>'April 2026'!Print_Titles</vt:lpstr>
      <vt:lpstr>'April 2027'!Print_Titles</vt:lpstr>
      <vt:lpstr>'August 2025'!Print_Titles</vt:lpstr>
      <vt:lpstr>'August 2026'!Print_Titles</vt:lpstr>
      <vt:lpstr>'August 2027'!Print_Titles</vt:lpstr>
      <vt:lpstr>'December 2024 '!Print_Titles</vt:lpstr>
      <vt:lpstr>'December 2025'!Print_Titles</vt:lpstr>
      <vt:lpstr>'December 2026'!Print_Titles</vt:lpstr>
      <vt:lpstr>'December 2027'!Print_Titles</vt:lpstr>
      <vt:lpstr>'February 2025'!Print_Titles</vt:lpstr>
      <vt:lpstr>'February 2026'!Print_Titles</vt:lpstr>
      <vt:lpstr>'February 2027'!Print_Titles</vt:lpstr>
      <vt:lpstr>'January 2025'!Print_Titles</vt:lpstr>
      <vt:lpstr>'January 2026'!Print_Titles</vt:lpstr>
      <vt:lpstr>'January 2027'!Print_Titles</vt:lpstr>
      <vt:lpstr>'July 2025'!Print_Titles</vt:lpstr>
      <vt:lpstr>'July 2026'!Print_Titles</vt:lpstr>
      <vt:lpstr>'July 2027'!Print_Titles</vt:lpstr>
      <vt:lpstr>'June 2025'!Print_Titles</vt:lpstr>
      <vt:lpstr>'June 2026'!Print_Titles</vt:lpstr>
      <vt:lpstr>'June 2027'!Print_Titles</vt:lpstr>
      <vt:lpstr>'March 2025'!Print_Titles</vt:lpstr>
      <vt:lpstr>'March 2026'!Print_Titles</vt:lpstr>
      <vt:lpstr>'March 2027'!Print_Titles</vt:lpstr>
      <vt:lpstr>'May 2025'!Print_Titles</vt:lpstr>
      <vt:lpstr>'May 2026'!Print_Titles</vt:lpstr>
      <vt:lpstr>'May 2027'!Print_Titles</vt:lpstr>
      <vt:lpstr>'November 2024'!Print_Titles</vt:lpstr>
      <vt:lpstr>'November 2025'!Print_Titles</vt:lpstr>
      <vt:lpstr>'November 2026'!Print_Titles</vt:lpstr>
      <vt:lpstr>'November 2027'!Print_Titles</vt:lpstr>
      <vt:lpstr>'October 2025'!Print_Titles</vt:lpstr>
      <vt:lpstr>'October 2026'!Print_Titles</vt:lpstr>
      <vt:lpstr>'October 2027'!Print_Titles</vt:lpstr>
      <vt:lpstr>'September 2025'!Print_Titles</vt:lpstr>
      <vt:lpstr>'September 2026'!Print_Titles</vt:lpstr>
      <vt:lpstr>'September 2027'!Print_Titles</vt:lpstr>
      <vt:lpstr>'April 2025'!YearToDisplay</vt:lpstr>
      <vt:lpstr>'April 2026'!YearToDisplay</vt:lpstr>
      <vt:lpstr>'April 2027'!YearToDisplay</vt:lpstr>
      <vt:lpstr>'August 2025'!YearToDisplay</vt:lpstr>
      <vt:lpstr>'August 2026'!YearToDisplay</vt:lpstr>
      <vt:lpstr>'August 2027'!YearToDisplay</vt:lpstr>
      <vt:lpstr>'December 2024 '!YearToDisplay</vt:lpstr>
      <vt:lpstr>'December 2025'!YearToDisplay</vt:lpstr>
      <vt:lpstr>'December 2026'!YearToDisplay</vt:lpstr>
      <vt:lpstr>'December 2027'!YearToDisplay</vt:lpstr>
      <vt:lpstr>'February 2025'!YearToDisplay</vt:lpstr>
      <vt:lpstr>'February 2026'!YearToDisplay</vt:lpstr>
      <vt:lpstr>'February 2027'!YearToDisplay</vt:lpstr>
      <vt:lpstr>'January 2025'!YearToDisplay</vt:lpstr>
      <vt:lpstr>'January 2026'!YearToDisplay</vt:lpstr>
      <vt:lpstr>'January 2027'!YearToDisplay</vt:lpstr>
      <vt:lpstr>'July 2025'!YearToDisplay</vt:lpstr>
      <vt:lpstr>'July 2026'!YearToDisplay</vt:lpstr>
      <vt:lpstr>'July 2027'!YearToDisplay</vt:lpstr>
      <vt:lpstr>'June 2025'!YearToDisplay</vt:lpstr>
      <vt:lpstr>'June 2026'!YearToDisplay</vt:lpstr>
      <vt:lpstr>'June 2027'!YearToDisplay</vt:lpstr>
      <vt:lpstr>'March 2025'!YearToDisplay</vt:lpstr>
      <vt:lpstr>'March 2026'!YearToDisplay</vt:lpstr>
      <vt:lpstr>'March 2027'!YearToDisplay</vt:lpstr>
      <vt:lpstr>'May 2025'!YearToDisplay</vt:lpstr>
      <vt:lpstr>'May 2026'!YearToDisplay</vt:lpstr>
      <vt:lpstr>'May 2027'!YearToDisplay</vt:lpstr>
      <vt:lpstr>'November 2024'!YearToDisplay</vt:lpstr>
      <vt:lpstr>'November 2025'!YearToDisplay</vt:lpstr>
      <vt:lpstr>'November 2026'!YearToDisplay</vt:lpstr>
      <vt:lpstr>'November 2027'!YearToDisplay</vt:lpstr>
      <vt:lpstr>'October 2025'!YearToDisplay</vt:lpstr>
      <vt:lpstr>'October 2026'!YearToDisplay</vt:lpstr>
      <vt:lpstr>'October 2027'!YearToDisplay</vt:lpstr>
      <vt:lpstr>'September 2025'!YearToDisplay</vt:lpstr>
      <vt:lpstr>'September 2026'!YearToDisplay</vt:lpstr>
      <vt:lpstr>'September 2027'!YearToDisplay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Cindy Lee</dc:creator>
  <cp:lastModifiedBy>Brian Lin</cp:lastModifiedBy>
  <cp:lastPrinted>2026-06-28T17:04:56Z</cp:lastPrinted>
  <dcterms:created xsi:type="dcterms:W3CDTF">2016-09-14T22:55:59Z</dcterms:created>
  <dcterms:modified xsi:type="dcterms:W3CDTF">2026-07-14T06:24:29Z</dcterms:modified>
</cp:coreProperties>
</file>